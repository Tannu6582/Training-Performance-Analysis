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bhask\Downloads\"/>
    </mc:Choice>
  </mc:AlternateContent>
  <xr:revisionPtr revIDLastSave="0" documentId="13_ncr:1_{8113E77E-78B2-4755-A5AB-44D50D83C65C}" xr6:coauthVersionLast="47" xr6:coauthVersionMax="47" xr10:uidLastSave="{00000000-0000-0000-0000-000000000000}"/>
  <bookViews>
    <workbookView xWindow="-108" yWindow="-108" windowWidth="23256" windowHeight="12456" activeTab="1" xr2:uid="{00000000-000D-0000-FFFF-FFFF00000000}"/>
  </bookViews>
  <sheets>
    <sheet name="Pivot_tables" sheetId="7" r:id="rId1"/>
    <sheet name="Dashboard" sheetId="8" r:id="rId2"/>
    <sheet name="Training Data" sheetId="1" r:id="rId3"/>
  </sheets>
  <definedNames>
    <definedName name="Slicer_Department">#N/A</definedName>
    <definedName name="Slicer_Trainer_Name">#N/A</definedName>
    <definedName name="Slicer_Training_Mode">#N/A</definedName>
    <definedName name="Slicer_Training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<sst xmlns="http://schemas.openxmlformats.org/spreadsheetml/2006/main" count="376" uniqueCount="125">
  <si>
    <t>Employee ID</t>
  </si>
  <si>
    <t>Employee Name</t>
  </si>
  <si>
    <t>Department</t>
  </si>
  <si>
    <t>Designation</t>
  </si>
  <si>
    <t>Training Program</t>
  </si>
  <si>
    <t>Training Type</t>
  </si>
  <si>
    <t>Trainer Name</t>
  </si>
  <si>
    <t>Training Mode</t>
  </si>
  <si>
    <t>Start Date</t>
  </si>
  <si>
    <t>End Date</t>
  </si>
  <si>
    <t>Training Hours</t>
  </si>
  <si>
    <t>Training Cost</t>
  </si>
  <si>
    <t>Completion Status</t>
  </si>
  <si>
    <t>Score/Assessment (%)</t>
  </si>
  <si>
    <t>Feedback Rating (1-5)</t>
  </si>
  <si>
    <t>Certification</t>
  </si>
  <si>
    <t>E001</t>
  </si>
  <si>
    <t>Amit Sharma</t>
  </si>
  <si>
    <t>Operations</t>
  </si>
  <si>
    <t>Developer</t>
  </si>
  <si>
    <t>Financial Modelling</t>
  </si>
  <si>
    <t>Compliance</t>
  </si>
  <si>
    <t>K. Sen</t>
  </si>
  <si>
    <t>Online</t>
  </si>
  <si>
    <t>Completed</t>
  </si>
  <si>
    <t>Yes</t>
  </si>
  <si>
    <t>E002</t>
  </si>
  <si>
    <t>Neha Verma</t>
  </si>
  <si>
    <t>Finance</t>
  </si>
  <si>
    <t>Analyst</t>
  </si>
  <si>
    <t>Leadership Skills</t>
  </si>
  <si>
    <t>Technical</t>
  </si>
  <si>
    <t>S. Mehta</t>
  </si>
  <si>
    <t>In Progress</t>
  </si>
  <si>
    <t>No</t>
  </si>
  <si>
    <t>E003</t>
  </si>
  <si>
    <t>Ravi Kumar</t>
  </si>
  <si>
    <t>Conflict Management</t>
  </si>
  <si>
    <t>E004</t>
  </si>
  <si>
    <t>Pooja Singh</t>
  </si>
  <si>
    <t>Sales</t>
  </si>
  <si>
    <t>Manager</t>
  </si>
  <si>
    <t>Advanced Excel</t>
  </si>
  <si>
    <t>S. Gupta</t>
  </si>
  <si>
    <t>E005</t>
  </si>
  <si>
    <t>Arjun Mehta</t>
  </si>
  <si>
    <t>Sales Techniques</t>
  </si>
  <si>
    <t>Offline</t>
  </si>
  <si>
    <t>Not Completed</t>
  </si>
  <si>
    <t>E006</t>
  </si>
  <si>
    <t>Sneha Nair</t>
  </si>
  <si>
    <t>E007</t>
  </si>
  <si>
    <t>Vikram Rao</t>
  </si>
  <si>
    <t>Senior Executive</t>
  </si>
  <si>
    <t>P. Rao</t>
  </si>
  <si>
    <t>Blended</t>
  </si>
  <si>
    <t>E008</t>
  </si>
  <si>
    <t>Meera Joshi</t>
  </si>
  <si>
    <t>E009</t>
  </si>
  <si>
    <t>Karan Patel</t>
  </si>
  <si>
    <t>Negotiation Skills</t>
  </si>
  <si>
    <t>R. Das</t>
  </si>
  <si>
    <t>E010</t>
  </si>
  <si>
    <t>Anita Das</t>
  </si>
  <si>
    <t>Soft Skill</t>
  </si>
  <si>
    <t>E011</t>
  </si>
  <si>
    <t>Rohit Sen</t>
  </si>
  <si>
    <t>IT</t>
  </si>
  <si>
    <t>HR Analytics</t>
  </si>
  <si>
    <t>V. Menon</t>
  </si>
  <si>
    <t>E012</t>
  </si>
  <si>
    <t>Divya Reddy</t>
  </si>
  <si>
    <t>E013</t>
  </si>
  <si>
    <t>Manish Agarwal</t>
  </si>
  <si>
    <t>E014</t>
  </si>
  <si>
    <t>Priya Iyer</t>
  </si>
  <si>
    <t>Executive</t>
  </si>
  <si>
    <t>M. Jain</t>
  </si>
  <si>
    <t>E015</t>
  </si>
  <si>
    <t>Sameer Khan</t>
  </si>
  <si>
    <t>E016</t>
  </si>
  <si>
    <t>Swati Mishra</t>
  </si>
  <si>
    <t>Cloud Computing</t>
  </si>
  <si>
    <t>E017</t>
  </si>
  <si>
    <t>Deepak Gupta</t>
  </si>
  <si>
    <t>HR</t>
  </si>
  <si>
    <t>E018</t>
  </si>
  <si>
    <t>Shalini Roy</t>
  </si>
  <si>
    <t>E019</t>
  </si>
  <si>
    <t>Abhishek Das</t>
  </si>
  <si>
    <t>Labour Laws</t>
  </si>
  <si>
    <t>E020</t>
  </si>
  <si>
    <t>Komal Jain</t>
  </si>
  <si>
    <t>E021</t>
  </si>
  <si>
    <t>Rahul Yadav</t>
  </si>
  <si>
    <t>E022</t>
  </si>
  <si>
    <t>Sonali Bose</t>
  </si>
  <si>
    <t>E023</t>
  </si>
  <si>
    <t>Nitin Chawla</t>
  </si>
  <si>
    <t>E024</t>
  </si>
  <si>
    <t>Ayesha Khan</t>
  </si>
  <si>
    <t>R. Iyer</t>
  </si>
  <si>
    <t>E025</t>
  </si>
  <si>
    <t>Harshita Sinha</t>
  </si>
  <si>
    <t>J. Kapoor</t>
  </si>
  <si>
    <t>E026</t>
  </si>
  <si>
    <t>Saurabh Bansal</t>
  </si>
  <si>
    <t>E027</t>
  </si>
  <si>
    <t>Tanvi Kapoor</t>
  </si>
  <si>
    <t>E028</t>
  </si>
  <si>
    <t>Gaurav Saxena</t>
  </si>
  <si>
    <t>E029</t>
  </si>
  <si>
    <t>Ritika Malhotra</t>
  </si>
  <si>
    <t>E030</t>
  </si>
  <si>
    <t>Naveen Pillai</t>
  </si>
  <si>
    <t>Grand Total</t>
  </si>
  <si>
    <t>Average of Training Hours</t>
  </si>
  <si>
    <t/>
  </si>
  <si>
    <t>Average of Training Cost</t>
  </si>
  <si>
    <t>Comp;etion_status</t>
  </si>
  <si>
    <t>Count of Completion Status</t>
  </si>
  <si>
    <t>Average of Score/Assessment (%)</t>
  </si>
  <si>
    <t>Average of Feedback Rating (1-5)</t>
  </si>
  <si>
    <t>Count of Certification</t>
  </si>
  <si>
    <t xml:space="preserve">                                                                                                                         TRAINING COMPLETION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</si>
</sst>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4"/>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4" fontId="0" fillId="0" borderId="0" xfId="0" applyNumberFormat="1"/>
    <xf numFmtId="9" fontId="0" fillId="0" borderId="0" xfId="0" applyNumberFormat="1"/>
    <xf numFmtId="1" fontId="0" fillId="0" borderId="0" xfId="0" applyNumberFormat="1"/>
    <xf numFmtId="0" fontId="1" fillId="0" borderId="0" xfId="0" applyFont="1"/>
  </cellXfs>
  <cellStyles count="1">
    <cellStyle name="Normal" xfId="0" builtinId="0"/>
  </cellStyles>
  <dxfs count="39">
    <dxf>
      <numFmt numFmtId="1" formatCode="0"/>
    </dxf>
    <dxf>
      <numFmt numFmtId="167" formatCode="&quot;$&quot;#,##0.00"/>
    </dxf>
    <dxf>
      <numFmt numFmtId="167" formatCode="&quot;$&quot;#,##0.00"/>
    </dxf>
    <dxf>
      <numFmt numFmtId="168" formatCode="&quot;$&quot;#,##0.0"/>
    </dxf>
    <dxf>
      <numFmt numFmtId="168" formatCode="&quot;$&quot;#,##0.0"/>
    </dxf>
    <dxf>
      <numFmt numFmtId="169" formatCode="&quot;$&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3"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Training_hours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Pivot_tables!$A$4:$A$13</c:f>
              <c:strCache>
                <c:ptCount val="9"/>
                <c:pt idx="0">
                  <c:v>Negotiation Skills</c:v>
                </c:pt>
                <c:pt idx="1">
                  <c:v>Financial Modelling</c:v>
                </c:pt>
                <c:pt idx="2">
                  <c:v>Cloud Computing</c:v>
                </c:pt>
                <c:pt idx="3">
                  <c:v>Labour Laws</c:v>
                </c:pt>
                <c:pt idx="4">
                  <c:v>Advanced Excel</c:v>
                </c:pt>
                <c:pt idx="5">
                  <c:v>HR Analytics</c:v>
                </c:pt>
                <c:pt idx="6">
                  <c:v>Conflict Management</c:v>
                </c:pt>
                <c:pt idx="7">
                  <c:v>Sales Techniques</c:v>
                </c:pt>
                <c:pt idx="8">
                  <c:v>Leadership Skills</c:v>
                </c:pt>
              </c:strCache>
            </c:strRef>
          </c:cat>
          <c:val>
            <c:numRef>
              <c:f>Pivot_tables!$B$4:$B$13</c:f>
              <c:numCache>
                <c:formatCode>0</c:formatCode>
                <c:ptCount val="9"/>
                <c:pt idx="0">
                  <c:v>11</c:v>
                </c:pt>
                <c:pt idx="1">
                  <c:v>12.75</c:v>
                </c:pt>
                <c:pt idx="2">
                  <c:v>14</c:v>
                </c:pt>
                <c:pt idx="3">
                  <c:v>15</c:v>
                </c:pt>
                <c:pt idx="4">
                  <c:v>16</c:v>
                </c:pt>
                <c:pt idx="5">
                  <c:v>17</c:v>
                </c:pt>
                <c:pt idx="6">
                  <c:v>17</c:v>
                </c:pt>
                <c:pt idx="7">
                  <c:v>19.666666666666668</c:v>
                </c:pt>
                <c:pt idx="8">
                  <c:v>20.5</c:v>
                </c:pt>
              </c:numCache>
            </c:numRef>
          </c:val>
          <c:extLst>
            <c:ext xmlns:c16="http://schemas.microsoft.com/office/drawing/2014/chart" uri="{C3380CC4-5D6E-409C-BE32-E72D297353CC}">
              <c16:uniqueId val="{00000000-D8FC-4AC2-B2BA-138D8E918BBB}"/>
            </c:ext>
          </c:extLst>
        </c:ser>
        <c:dLbls>
          <c:dLblPos val="outEnd"/>
          <c:showLegendKey val="0"/>
          <c:showVal val="1"/>
          <c:showCatName val="0"/>
          <c:showSerName val="0"/>
          <c:showPercent val="0"/>
          <c:showBubbleSize val="0"/>
        </c:dLbls>
        <c:gapWidth val="182"/>
        <c:axId val="551748207"/>
        <c:axId val="551748687"/>
      </c:barChart>
      <c:catAx>
        <c:axId val="551748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8687"/>
        <c:crosses val="autoZero"/>
        <c:auto val="1"/>
        <c:lblAlgn val="ctr"/>
        <c:lblOffset val="100"/>
        <c:noMultiLvlLbl val="0"/>
      </c:catAx>
      <c:valAx>
        <c:axId val="5517486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Training_cost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Pivot_tables!$A$17:$A$26</c:f>
              <c:strCache>
                <c:ptCount val="9"/>
                <c:pt idx="0">
                  <c:v>Sales Techniques</c:v>
                </c:pt>
                <c:pt idx="1">
                  <c:v>Leadership Skills</c:v>
                </c:pt>
                <c:pt idx="2">
                  <c:v>HR Analytics</c:v>
                </c:pt>
                <c:pt idx="3">
                  <c:v>Advanced Excel</c:v>
                </c:pt>
                <c:pt idx="4">
                  <c:v>Labour Laws</c:v>
                </c:pt>
                <c:pt idx="5">
                  <c:v>Cloud Computing</c:v>
                </c:pt>
                <c:pt idx="6">
                  <c:v>Conflict Management</c:v>
                </c:pt>
                <c:pt idx="7">
                  <c:v>Negotiation Skills</c:v>
                </c:pt>
                <c:pt idx="8">
                  <c:v>Financial Modelling</c:v>
                </c:pt>
              </c:strCache>
            </c:strRef>
          </c:cat>
          <c:val>
            <c:numRef>
              <c:f>Pivot_tables!$B$17:$B$26</c:f>
              <c:numCache>
                <c:formatCode>0</c:formatCode>
                <c:ptCount val="9"/>
                <c:pt idx="0">
                  <c:v>21780.166666666668</c:v>
                </c:pt>
                <c:pt idx="1">
                  <c:v>21746.5</c:v>
                </c:pt>
                <c:pt idx="2">
                  <c:v>20809</c:v>
                </c:pt>
                <c:pt idx="3">
                  <c:v>19373.857142857141</c:v>
                </c:pt>
                <c:pt idx="4">
                  <c:v>18773</c:v>
                </c:pt>
                <c:pt idx="5">
                  <c:v>17094</c:v>
                </c:pt>
                <c:pt idx="6">
                  <c:v>16997.75</c:v>
                </c:pt>
                <c:pt idx="7">
                  <c:v>16214</c:v>
                </c:pt>
                <c:pt idx="8">
                  <c:v>15366.25</c:v>
                </c:pt>
              </c:numCache>
            </c:numRef>
          </c:val>
          <c:extLst>
            <c:ext xmlns:c16="http://schemas.microsoft.com/office/drawing/2014/chart" uri="{C3380CC4-5D6E-409C-BE32-E72D297353CC}">
              <c16:uniqueId val="{00000000-5B62-46E1-A700-C7C52E140049}"/>
            </c:ext>
          </c:extLst>
        </c:ser>
        <c:dLbls>
          <c:dLblPos val="outEnd"/>
          <c:showLegendKey val="0"/>
          <c:showVal val="1"/>
          <c:showCatName val="0"/>
          <c:showSerName val="0"/>
          <c:showPercent val="0"/>
          <c:showBubbleSize val="0"/>
        </c:dLbls>
        <c:gapWidth val="182"/>
        <c:axId val="219574303"/>
        <c:axId val="80548735"/>
      </c:barChart>
      <c:catAx>
        <c:axId val="2195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8735"/>
        <c:crosses val="autoZero"/>
        <c:auto val="1"/>
        <c:lblAlgn val="ctr"/>
        <c:lblOffset val="100"/>
        <c:noMultiLvlLbl val="0"/>
      </c:catAx>
      <c:valAx>
        <c:axId val="805487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7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Completion_status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Pivot_tables!$A$30:$A$33</c:f>
              <c:strCache>
                <c:ptCount val="3"/>
                <c:pt idx="0">
                  <c:v>Completed</c:v>
                </c:pt>
                <c:pt idx="1">
                  <c:v>Not Completed</c:v>
                </c:pt>
                <c:pt idx="2">
                  <c:v>In Progress</c:v>
                </c:pt>
              </c:strCache>
            </c:strRef>
          </c:cat>
          <c:val>
            <c:numRef>
              <c:f>Pivot_tables!$B$30:$B$33</c:f>
              <c:numCache>
                <c:formatCode>0%</c:formatCode>
                <c:ptCount val="3"/>
                <c:pt idx="0">
                  <c:v>0.43333333333333335</c:v>
                </c:pt>
                <c:pt idx="1">
                  <c:v>0.33333333333333331</c:v>
                </c:pt>
                <c:pt idx="2">
                  <c:v>0.23333333333333334</c:v>
                </c:pt>
              </c:numCache>
            </c:numRef>
          </c:val>
          <c:extLst>
            <c:ext xmlns:c16="http://schemas.microsoft.com/office/drawing/2014/chart" uri="{C3380CC4-5D6E-409C-BE32-E72D297353CC}">
              <c16:uniqueId val="{00000000-E372-49D5-A238-EE6BD2013304}"/>
            </c:ext>
          </c:extLst>
        </c:ser>
        <c:dLbls>
          <c:dLblPos val="outEnd"/>
          <c:showLegendKey val="0"/>
          <c:showVal val="1"/>
          <c:showCatName val="0"/>
          <c:showSerName val="0"/>
          <c:showPercent val="0"/>
          <c:showBubbleSize val="0"/>
        </c:dLbls>
        <c:gapWidth val="219"/>
        <c:overlap val="-27"/>
        <c:axId val="218072735"/>
        <c:axId val="218083295"/>
      </c:barChart>
      <c:catAx>
        <c:axId val="21807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83295"/>
        <c:crosses val="autoZero"/>
        <c:auto val="1"/>
        <c:lblAlgn val="ctr"/>
        <c:lblOffset val="100"/>
        <c:noMultiLvlLbl val="0"/>
      </c:catAx>
      <c:valAx>
        <c:axId val="2180832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0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Pivot_tables!$A$37:$A$46</c:f>
              <c:strCache>
                <c:ptCount val="9"/>
                <c:pt idx="0">
                  <c:v>Cloud Computing</c:v>
                </c:pt>
                <c:pt idx="1">
                  <c:v>Labour Laws</c:v>
                </c:pt>
                <c:pt idx="2">
                  <c:v>Negotiation Skills</c:v>
                </c:pt>
                <c:pt idx="3">
                  <c:v>Leadership Skills</c:v>
                </c:pt>
                <c:pt idx="4">
                  <c:v>HR Analytics</c:v>
                </c:pt>
                <c:pt idx="5">
                  <c:v>Conflict Management</c:v>
                </c:pt>
                <c:pt idx="6">
                  <c:v>Sales Techniques</c:v>
                </c:pt>
                <c:pt idx="7">
                  <c:v>Advanced Excel</c:v>
                </c:pt>
                <c:pt idx="8">
                  <c:v>Financial Modelling</c:v>
                </c:pt>
              </c:strCache>
            </c:strRef>
          </c:cat>
          <c:val>
            <c:numRef>
              <c:f>Pivot_tables!$B$37:$B$46</c:f>
              <c:numCache>
                <c:formatCode>0</c:formatCode>
                <c:ptCount val="9"/>
                <c:pt idx="0">
                  <c:v>0</c:v>
                </c:pt>
                <c:pt idx="1">
                  <c:v>0</c:v>
                </c:pt>
                <c:pt idx="2">
                  <c:v>0</c:v>
                </c:pt>
                <c:pt idx="3">
                  <c:v>0</c:v>
                </c:pt>
                <c:pt idx="4">
                  <c:v>20</c:v>
                </c:pt>
                <c:pt idx="5">
                  <c:v>32.75</c:v>
                </c:pt>
                <c:pt idx="6">
                  <c:v>39.333333333333336</c:v>
                </c:pt>
                <c:pt idx="7">
                  <c:v>42.428571428571431</c:v>
                </c:pt>
                <c:pt idx="8">
                  <c:v>61.5</c:v>
                </c:pt>
              </c:numCache>
            </c:numRef>
          </c:val>
          <c:extLst>
            <c:ext xmlns:c16="http://schemas.microsoft.com/office/drawing/2014/chart" uri="{C3380CC4-5D6E-409C-BE32-E72D297353CC}">
              <c16:uniqueId val="{00000000-2A4F-4504-9868-50E8C7C028A0}"/>
            </c:ext>
          </c:extLst>
        </c:ser>
        <c:dLbls>
          <c:dLblPos val="outEnd"/>
          <c:showLegendKey val="0"/>
          <c:showVal val="1"/>
          <c:showCatName val="0"/>
          <c:showSerName val="0"/>
          <c:showPercent val="0"/>
          <c:showBubbleSize val="0"/>
        </c:dLbls>
        <c:gapWidth val="182"/>
        <c:axId val="430123343"/>
        <c:axId val="430124303"/>
      </c:barChart>
      <c:catAx>
        <c:axId val="43012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24303"/>
        <c:crosses val="autoZero"/>
        <c:auto val="1"/>
        <c:lblAlgn val="ctr"/>
        <c:lblOffset val="100"/>
        <c:noMultiLvlLbl val="0"/>
      </c:catAx>
      <c:valAx>
        <c:axId val="4301243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1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Feedback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Pivot_tables!$B$49</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Pivot_tables!$A$50:$A$59</c:f>
              <c:strCache>
                <c:ptCount val="9"/>
                <c:pt idx="0">
                  <c:v>Cloud Computing</c:v>
                </c:pt>
                <c:pt idx="1">
                  <c:v>Labour Laws</c:v>
                </c:pt>
                <c:pt idx="2">
                  <c:v>Negotiation Skills</c:v>
                </c:pt>
                <c:pt idx="3">
                  <c:v>Leadership Skills</c:v>
                </c:pt>
                <c:pt idx="4">
                  <c:v>HR Analytics</c:v>
                </c:pt>
                <c:pt idx="5">
                  <c:v>Conflict Management</c:v>
                </c:pt>
                <c:pt idx="6">
                  <c:v>Sales Techniques</c:v>
                </c:pt>
                <c:pt idx="7">
                  <c:v>Financial Modelling</c:v>
                </c:pt>
                <c:pt idx="8">
                  <c:v>Advanced Excel</c:v>
                </c:pt>
              </c:strCache>
            </c:strRef>
          </c:cat>
          <c:val>
            <c:numRef>
              <c:f>Pivot_tables!$B$50:$B$59</c:f>
              <c:numCache>
                <c:formatCode>0</c:formatCode>
                <c:ptCount val="9"/>
                <c:pt idx="0">
                  <c:v>0</c:v>
                </c:pt>
                <c:pt idx="1">
                  <c:v>0</c:v>
                </c:pt>
                <c:pt idx="2">
                  <c:v>0</c:v>
                </c:pt>
                <c:pt idx="3">
                  <c:v>0</c:v>
                </c:pt>
                <c:pt idx="4">
                  <c:v>1</c:v>
                </c:pt>
                <c:pt idx="5">
                  <c:v>2</c:v>
                </c:pt>
                <c:pt idx="6">
                  <c:v>2.1666666666666665</c:v>
                </c:pt>
                <c:pt idx="7">
                  <c:v>2.25</c:v>
                </c:pt>
                <c:pt idx="8">
                  <c:v>2.2857142857142856</c:v>
                </c:pt>
              </c:numCache>
            </c:numRef>
          </c:val>
          <c:extLst>
            <c:ext xmlns:c16="http://schemas.microsoft.com/office/drawing/2014/chart" uri="{C3380CC4-5D6E-409C-BE32-E72D297353CC}">
              <c16:uniqueId val="{00000000-5CC8-4350-BEA3-F2D3B95A5D37}"/>
            </c:ext>
          </c:extLst>
        </c:ser>
        <c:dLbls>
          <c:dLblPos val="outEnd"/>
          <c:showLegendKey val="0"/>
          <c:showVal val="1"/>
          <c:showCatName val="0"/>
          <c:showSerName val="0"/>
          <c:showPercent val="0"/>
          <c:showBubbleSize val="0"/>
        </c:dLbls>
        <c:gapWidth val="182"/>
        <c:axId val="551745807"/>
        <c:axId val="551746287"/>
      </c:barChart>
      <c:catAx>
        <c:axId val="55174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6287"/>
        <c:crosses val="autoZero"/>
        <c:auto val="1"/>
        <c:lblAlgn val="ctr"/>
        <c:lblOffset val="100"/>
        <c:noMultiLvlLbl val="0"/>
      </c:catAx>
      <c:valAx>
        <c:axId val="55174628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4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[Tannu_second_Internal.xlsx]Pivot_tables!PivotTable9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Certification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000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w="19050">
            <a:solidFill>
              <a:schemeClr val="lt1"/>
            </a:solidFill>
          </a:ln>
          <a:effectLst/>
        </c:spPr>
      </c:pivotFmt>
      <c:pivotFmt>
        <c:idx val="6"/>
        <c:spPr>
          <a:solidFill>
            <a:schemeClr val="accent5">
              <a:lumMod val="75000"/>
            </a:schemeClr>
          </a:solidFill>
          <a:ln w="19050">
            <a:solidFill>
              <a:schemeClr val="lt1"/>
            </a:solidFill>
          </a:ln>
          <a:effectLst/>
        </c:spPr>
      </c:pivotFmt>
    </c:pivotFmts>
    <c:plotArea>
      <c:layout/>
      <c:pieChart>
        <c:varyColors val="1"/>
        <c:ser>
          <c:idx val="0"/>
          <c:order val="0"/>
          <c:tx>
            <c:strRef>
              <c:f>Pivot_tables!$B$62</c:f>
              <c:strCache>
                <c:ptCount val="1"/>
                <c:pt idx="0">
                  <c:v>Total</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12ED-44CB-8B72-A47D1D84509E}"/>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12ED-44CB-8B72-A47D1D8450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Pivot_tables!$A$63:$A$65</c:f>
              <c:strCache>
                <c:ptCount val="2"/>
                <c:pt idx="0">
                  <c:v>No</c:v>
                </c:pt>
                <c:pt idx="1">
                  <c:v>Yes</c:v>
                </c:pt>
              </c:strCache>
            </c:strRef>
          </c:cat>
          <c:val>
            <c:numRef>
              <c:f>Pivot_tables!$B$63:$B$65</c:f>
              <c:numCache>
                <c:formatCode>0%</c:formatCode>
                <c:ptCount val="2"/>
                <c:pt idx="0">
                  <c:v>0.8</c:v>
                </c:pt>
                <c:pt idx="1">
                  <c:v>0.2</c:v>
                </c:pt>
              </c:numCache>
            </c:numRef>
          </c:val>
          <c:extLst>
            <c:ext xmlns:c16="http://schemas.microsoft.com/office/drawing/2014/chart" uri="{C3380CC4-5D6E-409C-BE32-E72D297353CC}">
              <c16:uniqueId val="{00000004-12ED-44CB-8B72-A47D1D84509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0</xdr:colOff>
      <xdr:row>13</xdr:row>
      <xdr:rowOff>0</xdr:rowOff>
    </xdr:to>
    <xdr:graphicFrame macro="">
      <xdr:nvGraphicFramePr>
        <xdr:cNvPr id="2" name="Chart 1">
          <a:extLst>
            <a:ext uri="{FF2B5EF4-FFF2-40B4-BE49-F238E27FC236}">
              <a16:creationId xmlns:a16="http://schemas.microsoft.com/office/drawing/2014/main" id="{A3DF9374-111F-40B5-919D-9C04E3E99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xdr:row>
      <xdr:rowOff>175260</xdr:rowOff>
    </xdr:from>
    <xdr:to>
      <xdr:col>11</xdr:col>
      <xdr:colOff>15240</xdr:colOff>
      <xdr:row>12</xdr:row>
      <xdr:rowOff>129540</xdr:rowOff>
    </xdr:to>
    <xdr:graphicFrame macro="">
      <xdr:nvGraphicFramePr>
        <xdr:cNvPr id="3" name="Chart 2">
          <a:extLst>
            <a:ext uri="{FF2B5EF4-FFF2-40B4-BE49-F238E27FC236}">
              <a16:creationId xmlns:a16="http://schemas.microsoft.com/office/drawing/2014/main" id="{FFEB72A7-8117-4FEF-97CD-B5C6AE5FF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xdr:row>
      <xdr:rowOff>0</xdr:rowOff>
    </xdr:from>
    <xdr:to>
      <xdr:col>16</xdr:col>
      <xdr:colOff>15240</xdr:colOff>
      <xdr:row>12</xdr:row>
      <xdr:rowOff>137160</xdr:rowOff>
    </xdr:to>
    <xdr:graphicFrame macro="">
      <xdr:nvGraphicFramePr>
        <xdr:cNvPr id="4" name="Chart 3">
          <a:extLst>
            <a:ext uri="{FF2B5EF4-FFF2-40B4-BE49-F238E27FC236}">
              <a16:creationId xmlns:a16="http://schemas.microsoft.com/office/drawing/2014/main" id="{1F59C04F-BD24-479B-AE69-5E55DFD36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15240</xdr:rowOff>
    </xdr:from>
    <xdr:to>
      <xdr:col>5</xdr:col>
      <xdr:colOff>304800</xdr:colOff>
      <xdr:row>24</xdr:row>
      <xdr:rowOff>60960</xdr:rowOff>
    </xdr:to>
    <xdr:graphicFrame macro="">
      <xdr:nvGraphicFramePr>
        <xdr:cNvPr id="5" name="Chart 4">
          <a:extLst>
            <a:ext uri="{FF2B5EF4-FFF2-40B4-BE49-F238E27FC236}">
              <a16:creationId xmlns:a16="http://schemas.microsoft.com/office/drawing/2014/main" id="{4B5EAC6A-257A-4017-AAD2-9468B4A4F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304800</xdr:colOff>
      <xdr:row>12</xdr:row>
      <xdr:rowOff>137160</xdr:rowOff>
    </xdr:from>
    <xdr:to>
      <xdr:col>11</xdr:col>
      <xdr:colOff>15240</xdr:colOff>
      <xdr:row>24</xdr:row>
      <xdr:rowOff>76200</xdr:rowOff>
    </xdr:to>
    <xdr:graphicFrame macro="">
      <xdr:nvGraphicFramePr>
        <xdr:cNvPr id="6" name="Chart 5">
          <a:extLst>
            <a:ext uri="{FF2B5EF4-FFF2-40B4-BE49-F238E27FC236}">
              <a16:creationId xmlns:a16="http://schemas.microsoft.com/office/drawing/2014/main" id="{4229477F-BB8F-49A2-A006-77FDA66DD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15240</xdr:colOff>
      <xdr:row>12</xdr:row>
      <xdr:rowOff>137160</xdr:rowOff>
    </xdr:from>
    <xdr:to>
      <xdr:col>16</xdr:col>
      <xdr:colOff>0</xdr:colOff>
      <xdr:row>24</xdr:row>
      <xdr:rowOff>91440</xdr:rowOff>
    </xdr:to>
    <xdr:graphicFrame macro="">
      <xdr:nvGraphicFramePr>
        <xdr:cNvPr id="7" name="Chart 6">
          <a:extLst>
            <a:ext uri="{FF2B5EF4-FFF2-40B4-BE49-F238E27FC236}">
              <a16:creationId xmlns:a16="http://schemas.microsoft.com/office/drawing/2014/main" id="{F64295DD-F48A-4990-9929-232F0729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11</xdr:row>
      <xdr:rowOff>32385</xdr:rowOff>
    </xdr:from>
    <xdr:to>
      <xdr:col>22</xdr:col>
      <xdr:colOff>0</xdr:colOff>
      <xdr:row>24</xdr:row>
      <xdr:rowOff>121920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13B2E4F1-9869-6F55-C544-48B54081C0F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582400" y="208978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xdr:row>
      <xdr:rowOff>112395</xdr:rowOff>
    </xdr:from>
    <xdr:to>
      <xdr:col>22</xdr:col>
      <xdr:colOff>0</xdr:colOff>
      <xdr:row>11</xdr:row>
      <xdr:rowOff>0</xdr:rowOff>
    </xdr:to>
    <mc:AlternateContent xmlns:mc="http://schemas.openxmlformats.org/markup-compatibility/2006" xmlns:a14="http://schemas.microsoft.com/office/drawing/2010/main">
      <mc:Choice Requires="a14">
        <xdr:graphicFrame macro="">
          <xdr:nvGraphicFramePr>
            <xdr:cNvPr id="9" name="Training Type">
              <a:extLst>
                <a:ext uri="{FF2B5EF4-FFF2-40B4-BE49-F238E27FC236}">
                  <a16:creationId xmlns:a16="http://schemas.microsoft.com/office/drawing/2014/main" id="{7236D96D-BD98-44D0-4B46-0F37719C0215}"/>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11582400" y="340995"/>
              <a:ext cx="1828800" cy="17164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10</xdr:row>
      <xdr:rowOff>161925</xdr:rowOff>
    </xdr:from>
    <xdr:to>
      <xdr:col>19</xdr:col>
      <xdr:colOff>15240</xdr:colOff>
      <xdr:row>24</xdr:row>
      <xdr:rowOff>99060</xdr:rowOff>
    </xdr:to>
    <mc:AlternateContent xmlns:mc="http://schemas.openxmlformats.org/markup-compatibility/2006" xmlns:a14="http://schemas.microsoft.com/office/drawing/2010/main">
      <mc:Choice Requires="a14">
        <xdr:graphicFrame macro="">
          <xdr:nvGraphicFramePr>
            <xdr:cNvPr id="10" name="Trainer Name">
              <a:extLst>
                <a:ext uri="{FF2B5EF4-FFF2-40B4-BE49-F238E27FC236}">
                  <a16:creationId xmlns:a16="http://schemas.microsoft.com/office/drawing/2014/main" id="{3C9D6973-1E8F-2A9A-B572-73AEF4B08E58}"/>
                </a:ext>
              </a:extLst>
            </xdr:cNvPr>
            <xdr:cNvGraphicFramePr/>
          </xdr:nvGraphicFramePr>
          <xdr:xfrm>
            <a:off x="0" y="0"/>
            <a:ext cx="0" cy="0"/>
          </xdr:xfrm>
          <a:graphic>
            <a:graphicData uri="http://schemas.microsoft.com/office/drawing/2010/slicer">
              <sle:slicer xmlns:sle="http://schemas.microsoft.com/office/drawing/2010/slicer" name="Trainer Name"/>
            </a:graphicData>
          </a:graphic>
        </xdr:graphicFrame>
      </mc:Choice>
      <mc:Fallback xmlns="">
        <xdr:sp macro="" textlink="">
          <xdr:nvSpPr>
            <xdr:cNvPr id="0" name=""/>
            <xdr:cNvSpPr>
              <a:spLocks noTextEdit="1"/>
            </xdr:cNvSpPr>
          </xdr:nvSpPr>
          <xdr:spPr>
            <a:xfrm>
              <a:off x="9768840" y="2036445"/>
              <a:ext cx="1828800" cy="2215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xdr:colOff>
      <xdr:row>1</xdr:row>
      <xdr:rowOff>81915</xdr:rowOff>
    </xdr:from>
    <xdr:to>
      <xdr:col>19</xdr:col>
      <xdr:colOff>15240</xdr:colOff>
      <xdr:row>10</xdr:row>
      <xdr:rowOff>131445</xdr:rowOff>
    </xdr:to>
    <mc:AlternateContent xmlns:mc="http://schemas.openxmlformats.org/markup-compatibility/2006" xmlns:a14="http://schemas.microsoft.com/office/drawing/2010/main">
      <mc:Choice Requires="a14">
        <xdr:graphicFrame macro="">
          <xdr:nvGraphicFramePr>
            <xdr:cNvPr id="11" name="Training Mode">
              <a:extLst>
                <a:ext uri="{FF2B5EF4-FFF2-40B4-BE49-F238E27FC236}">
                  <a16:creationId xmlns:a16="http://schemas.microsoft.com/office/drawing/2014/main" id="{98884D12-0B12-BFE4-8706-C4D3CF811172}"/>
                </a:ext>
              </a:extLst>
            </xdr:cNvPr>
            <xdr:cNvGraphicFramePr/>
          </xdr:nvGraphicFramePr>
          <xdr:xfrm>
            <a:off x="0" y="0"/>
            <a:ext cx="0" cy="0"/>
          </xdr:xfrm>
          <a:graphic>
            <a:graphicData uri="http://schemas.microsoft.com/office/drawing/2010/slicer">
              <sle:slicer xmlns:sle="http://schemas.microsoft.com/office/drawing/2010/slicer" name="Training Mode"/>
            </a:graphicData>
          </a:graphic>
        </xdr:graphicFrame>
      </mc:Choice>
      <mc:Fallback xmlns="">
        <xdr:sp macro="" textlink="">
          <xdr:nvSpPr>
            <xdr:cNvPr id="0" name=""/>
            <xdr:cNvSpPr>
              <a:spLocks noTextEdit="1"/>
            </xdr:cNvSpPr>
          </xdr:nvSpPr>
          <xdr:spPr>
            <a:xfrm>
              <a:off x="9768840" y="310515"/>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MITA MISRA" refreshedDate="45925.523749074076" createdVersion="8" refreshedVersion="8" minRefreshableVersion="3" recordCount="30" xr:uid="{2BE26FB8-E7E8-4A91-8A3D-CEDBE791C174}">
  <cacheSource type="worksheet">
    <worksheetSource ref="A1:P31" sheet="Training Data"/>
  </cacheSource>
  <cacheFields count="16">
    <cacheField name="Employee ID" numFmtId="0">
      <sharedItems/>
    </cacheField>
    <cacheField name="Employee Name" numFmtId="0">
      <sharedItems count="30">
        <s v="Amit Sharma"/>
        <s v="Neha Verma"/>
        <s v="Ravi Kumar"/>
        <s v="Pooja Singh"/>
        <s v="Arjun Mehta"/>
        <s v="Sneha Nair"/>
        <s v="Vikram Rao"/>
        <s v="Meera Joshi"/>
        <s v="Karan Patel"/>
        <s v="Anita Das"/>
        <s v="Rohit Sen"/>
        <s v="Divya Reddy"/>
        <s v="Manish Agarwal"/>
        <s v="Priya Iyer"/>
        <s v="Sameer Khan"/>
        <s v="Swati Mishra"/>
        <s v="Deepak Gupta"/>
        <s v="Shalini Roy"/>
        <s v="Abhishek Das"/>
        <s v="Komal Jain"/>
        <s v="Rahul Yadav"/>
        <s v="Sonali Bose"/>
        <s v="Nitin Chawla"/>
        <s v="Ayesha Khan"/>
        <s v="Harshita Sinha"/>
        <s v="Saurabh Bansal"/>
        <s v="Tanvi Kapoor"/>
        <s v="Gaurav Saxena"/>
        <s v="Ritika Malhotra"/>
        <s v="Naveen Pillai"/>
      </sharedItems>
    </cacheField>
    <cacheField name="Department" numFmtId="0">
      <sharedItems count="5">
        <s v="Operations"/>
        <s v="Finance"/>
        <s v="Sales"/>
        <s v="IT"/>
        <s v="HR"/>
      </sharedItems>
    </cacheField>
    <cacheField name="Designation" numFmtId="0">
      <sharedItems/>
    </cacheField>
    <cacheField name="Training Program" numFmtId="0">
      <sharedItems count="9">
        <s v="Financial Modelling"/>
        <s v="Leadership Skills"/>
        <s v="Conflict Management"/>
        <s v="Advanced Excel"/>
        <s v="Sales Techniques"/>
        <s v="Negotiation Skills"/>
        <s v="HR Analytics"/>
        <s v="Cloud Computing"/>
        <s v="Labour Laws"/>
      </sharedItems>
    </cacheField>
    <cacheField name="Training Type" numFmtId="0">
      <sharedItems count="3">
        <s v="Compliance"/>
        <s v="Technical"/>
        <s v="Soft Skill"/>
      </sharedItems>
    </cacheField>
    <cacheField name="Trainer Name" numFmtId="0">
      <sharedItems count="9">
        <s v="K. Sen"/>
        <s v="S. Mehta"/>
        <s v="S. Gupta"/>
        <s v="P. Rao"/>
        <s v="R. Das"/>
        <s v="V. Menon"/>
        <s v="M. Jain"/>
        <s v="R. Iyer"/>
        <s v="J. Kapoor"/>
      </sharedItems>
    </cacheField>
    <cacheField name="Training Mode" numFmtId="0">
      <sharedItems count="3">
        <s v="Online"/>
        <s v="Offline"/>
        <s v="Blended"/>
      </sharedItems>
    </cacheField>
    <cacheField name="Start Date" numFmtId="164">
      <sharedItems containsSemiMixedTypes="0" containsNonDate="0" containsDate="1" containsString="0" minDate="2025-01-08T00:00:00" maxDate="2025-12-24T00:00:00"/>
    </cacheField>
    <cacheField name="End Date" numFmtId="164">
      <sharedItems containsSemiMixedTypes="0" containsNonDate="0" containsDate="1" containsString="0" minDate="2025-01-11T00:00:00" maxDate="2025-12-28T00:00:00"/>
    </cacheField>
    <cacheField name="Training Hours" numFmtId="0">
      <sharedItems containsSemiMixedTypes="0" containsString="0" containsNumber="1" containsInteger="1" minValue="8" maxValue="28" count="17">
        <n v="23"/>
        <n v="27"/>
        <n v="19"/>
        <n v="17"/>
        <n v="14"/>
        <n v="28"/>
        <n v="13"/>
        <n v="11"/>
        <n v="25"/>
        <n v="9"/>
        <n v="12"/>
        <n v="22"/>
        <n v="16"/>
        <n v="18"/>
        <n v="8"/>
        <n v="10"/>
        <n v="15"/>
      </sharedItems>
    </cacheField>
    <cacheField name="Training Cost" numFmtId="0">
      <sharedItems containsSemiMixedTypes="0" containsString="0" containsNumber="1" containsInteger="1" minValue="8392" maxValue="37632"/>
    </cacheField>
    <cacheField name="Completion Status" numFmtId="0">
      <sharedItems count="3">
        <s v="Completed"/>
        <s v="In Progress"/>
        <s v="Not Completed"/>
      </sharedItems>
    </cacheField>
    <cacheField name="Score/Assessment (%)" numFmtId="0">
      <sharedItems containsSemiMixedTypes="0" containsString="0" containsNumber="1" containsInteger="1" minValue="0" maxValue="93" count="12">
        <n v="71"/>
        <n v="0"/>
        <n v="65"/>
        <n v="88"/>
        <n v="69"/>
        <n v="60"/>
        <n v="70"/>
        <n v="93"/>
        <n v="92"/>
        <n v="66"/>
        <n v="74"/>
        <n v="82"/>
      </sharedItems>
    </cacheField>
    <cacheField name="Feedback Rating (1-5)" numFmtId="0">
      <sharedItems containsSemiMixedTypes="0" containsString="0" containsNumber="1" containsInteger="1" minValue="0" maxValue="5" count="4">
        <n v="3"/>
        <n v="0"/>
        <n v="4"/>
        <n v="5"/>
      </sharedItems>
    </cacheField>
    <cacheField name="Certification" numFmtId="0">
      <sharedItems count="2">
        <s v="Yes"/>
        <s v="No"/>
      </sharedItems>
    </cacheField>
  </cacheFields>
  <extLst>
    <ext xmlns:x14="http://schemas.microsoft.com/office/spreadsheetml/2009/9/main" uri="{725AE2AE-9491-48be-B2B4-4EB974FC3084}">
      <x14:pivotCacheDefinition pivotCacheId="2107012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001"/>
    <x v="0"/>
    <x v="0"/>
    <s v="Developer"/>
    <x v="0"/>
    <x v="0"/>
    <x v="0"/>
    <x v="0"/>
    <d v="2025-05-14T00:00:00"/>
    <d v="2025-05-18T00:00:00"/>
    <x v="0"/>
    <n v="30774"/>
    <x v="0"/>
    <x v="0"/>
    <x v="0"/>
    <x v="0"/>
  </r>
  <r>
    <s v="E002"/>
    <x v="1"/>
    <x v="1"/>
    <s v="Analyst"/>
    <x v="1"/>
    <x v="1"/>
    <x v="1"/>
    <x v="0"/>
    <d v="2025-05-11T00:00:00"/>
    <d v="2025-05-14T00:00:00"/>
    <x v="1"/>
    <n v="31509"/>
    <x v="1"/>
    <x v="1"/>
    <x v="1"/>
    <x v="1"/>
  </r>
  <r>
    <s v="E003"/>
    <x v="2"/>
    <x v="1"/>
    <s v="Developer"/>
    <x v="2"/>
    <x v="0"/>
    <x v="1"/>
    <x v="0"/>
    <d v="2025-01-08T00:00:00"/>
    <d v="2025-01-14T00:00:00"/>
    <x v="2"/>
    <n v="24377"/>
    <x v="0"/>
    <x v="2"/>
    <x v="0"/>
    <x v="1"/>
  </r>
  <r>
    <s v="E004"/>
    <x v="3"/>
    <x v="2"/>
    <s v="Manager"/>
    <x v="3"/>
    <x v="1"/>
    <x v="2"/>
    <x v="0"/>
    <d v="2025-09-21T00:00:00"/>
    <d v="2025-09-24T00:00:00"/>
    <x v="3"/>
    <n v="25126"/>
    <x v="0"/>
    <x v="3"/>
    <x v="2"/>
    <x v="0"/>
  </r>
  <r>
    <s v="E005"/>
    <x v="4"/>
    <x v="2"/>
    <s v="Analyst"/>
    <x v="4"/>
    <x v="1"/>
    <x v="1"/>
    <x v="1"/>
    <d v="2025-10-14T00:00:00"/>
    <d v="2025-10-19T00:00:00"/>
    <x v="4"/>
    <n v="18298"/>
    <x v="2"/>
    <x v="1"/>
    <x v="1"/>
    <x v="1"/>
  </r>
  <r>
    <s v="E006"/>
    <x v="5"/>
    <x v="2"/>
    <s v="Analyst"/>
    <x v="3"/>
    <x v="0"/>
    <x v="2"/>
    <x v="0"/>
    <d v="2025-07-15T00:00:00"/>
    <d v="2025-07-20T00:00:00"/>
    <x v="5"/>
    <n v="37632"/>
    <x v="2"/>
    <x v="1"/>
    <x v="1"/>
    <x v="1"/>
  </r>
  <r>
    <s v="E007"/>
    <x v="6"/>
    <x v="2"/>
    <s v="Senior Executive"/>
    <x v="3"/>
    <x v="1"/>
    <x v="3"/>
    <x v="2"/>
    <d v="2025-07-13T00:00:00"/>
    <d v="2025-07-15T00:00:00"/>
    <x v="6"/>
    <n v="11323"/>
    <x v="0"/>
    <x v="4"/>
    <x v="3"/>
    <x v="1"/>
  </r>
  <r>
    <s v="E008"/>
    <x v="7"/>
    <x v="0"/>
    <s v="Developer"/>
    <x v="1"/>
    <x v="0"/>
    <x v="0"/>
    <x v="2"/>
    <d v="2025-08-11T00:00:00"/>
    <d v="2025-08-14T00:00:00"/>
    <x v="4"/>
    <n v="11984"/>
    <x v="1"/>
    <x v="1"/>
    <x v="1"/>
    <x v="1"/>
  </r>
  <r>
    <s v="E009"/>
    <x v="8"/>
    <x v="1"/>
    <s v="Developer"/>
    <x v="5"/>
    <x v="1"/>
    <x v="4"/>
    <x v="2"/>
    <d v="2025-05-13T00:00:00"/>
    <d v="2025-05-15T00:00:00"/>
    <x v="7"/>
    <n v="16214"/>
    <x v="1"/>
    <x v="1"/>
    <x v="1"/>
    <x v="1"/>
  </r>
  <r>
    <s v="E010"/>
    <x v="9"/>
    <x v="2"/>
    <s v="Manager"/>
    <x v="4"/>
    <x v="2"/>
    <x v="2"/>
    <x v="1"/>
    <d v="2025-10-06T00:00:00"/>
    <d v="2025-10-08T00:00:00"/>
    <x v="8"/>
    <n v="21325"/>
    <x v="1"/>
    <x v="1"/>
    <x v="1"/>
    <x v="1"/>
  </r>
  <r>
    <s v="E011"/>
    <x v="10"/>
    <x v="3"/>
    <s v="Analyst"/>
    <x v="6"/>
    <x v="2"/>
    <x v="5"/>
    <x v="0"/>
    <d v="2025-05-18T00:00:00"/>
    <d v="2025-05-20T00:00:00"/>
    <x v="9"/>
    <n v="12321"/>
    <x v="0"/>
    <x v="5"/>
    <x v="0"/>
    <x v="1"/>
  </r>
  <r>
    <s v="E012"/>
    <x v="11"/>
    <x v="0"/>
    <s v="Developer"/>
    <x v="3"/>
    <x v="1"/>
    <x v="1"/>
    <x v="2"/>
    <d v="2025-12-05T00:00:00"/>
    <d v="2025-12-07T00:00:00"/>
    <x v="10"/>
    <n v="15684"/>
    <x v="0"/>
    <x v="6"/>
    <x v="0"/>
    <x v="1"/>
  </r>
  <r>
    <s v="E013"/>
    <x v="12"/>
    <x v="1"/>
    <s v="Senior Executive"/>
    <x v="0"/>
    <x v="2"/>
    <x v="1"/>
    <x v="0"/>
    <d v="2025-02-09T00:00:00"/>
    <d v="2025-02-11T00:00:00"/>
    <x v="7"/>
    <n v="9438"/>
    <x v="0"/>
    <x v="7"/>
    <x v="0"/>
    <x v="0"/>
  </r>
  <r>
    <s v="E014"/>
    <x v="13"/>
    <x v="2"/>
    <s v="Executive"/>
    <x v="4"/>
    <x v="1"/>
    <x v="6"/>
    <x v="2"/>
    <d v="2025-12-07T00:00:00"/>
    <d v="2025-12-13T00:00:00"/>
    <x v="11"/>
    <n v="26444"/>
    <x v="0"/>
    <x v="8"/>
    <x v="3"/>
    <x v="0"/>
  </r>
  <r>
    <s v="E015"/>
    <x v="14"/>
    <x v="0"/>
    <s v="Manager"/>
    <x v="2"/>
    <x v="0"/>
    <x v="1"/>
    <x v="1"/>
    <d v="2025-01-09T00:00:00"/>
    <d v="2025-01-15T00:00:00"/>
    <x v="12"/>
    <n v="13488"/>
    <x v="0"/>
    <x v="9"/>
    <x v="3"/>
    <x v="1"/>
  </r>
  <r>
    <s v="E016"/>
    <x v="15"/>
    <x v="0"/>
    <s v="Developer"/>
    <x v="7"/>
    <x v="2"/>
    <x v="6"/>
    <x v="0"/>
    <d v="2025-09-18T00:00:00"/>
    <d v="2025-09-20T00:00:00"/>
    <x v="4"/>
    <n v="17094"/>
    <x v="2"/>
    <x v="1"/>
    <x v="1"/>
    <x v="1"/>
  </r>
  <r>
    <s v="E017"/>
    <x v="16"/>
    <x v="4"/>
    <s v="Analyst"/>
    <x v="4"/>
    <x v="1"/>
    <x v="5"/>
    <x v="2"/>
    <d v="2025-02-08T00:00:00"/>
    <d v="2025-02-12T00:00:00"/>
    <x v="5"/>
    <n v="28168"/>
    <x v="0"/>
    <x v="10"/>
    <x v="2"/>
    <x v="0"/>
  </r>
  <r>
    <s v="E018"/>
    <x v="17"/>
    <x v="3"/>
    <s v="Developer"/>
    <x v="2"/>
    <x v="1"/>
    <x v="2"/>
    <x v="0"/>
    <d v="2025-09-13T00:00:00"/>
    <d v="2025-09-19T00:00:00"/>
    <x v="13"/>
    <n v="17676"/>
    <x v="1"/>
    <x v="1"/>
    <x v="1"/>
    <x v="1"/>
  </r>
  <r>
    <s v="E019"/>
    <x v="18"/>
    <x v="0"/>
    <s v="Manager"/>
    <x v="8"/>
    <x v="0"/>
    <x v="5"/>
    <x v="2"/>
    <d v="2025-09-03T00:00:00"/>
    <d v="2025-09-09T00:00:00"/>
    <x v="4"/>
    <n v="13818"/>
    <x v="2"/>
    <x v="1"/>
    <x v="1"/>
    <x v="1"/>
  </r>
  <r>
    <s v="E020"/>
    <x v="19"/>
    <x v="0"/>
    <s v="Developer"/>
    <x v="3"/>
    <x v="2"/>
    <x v="4"/>
    <x v="2"/>
    <d v="2025-01-09T00:00:00"/>
    <d v="2025-01-11T00:00:00"/>
    <x v="10"/>
    <n v="14916"/>
    <x v="1"/>
    <x v="1"/>
    <x v="1"/>
    <x v="1"/>
  </r>
  <r>
    <s v="E021"/>
    <x v="20"/>
    <x v="2"/>
    <s v="Manager"/>
    <x v="6"/>
    <x v="2"/>
    <x v="4"/>
    <x v="2"/>
    <d v="2025-10-17T00:00:00"/>
    <d v="2025-10-20T00:00:00"/>
    <x v="5"/>
    <n v="36036"/>
    <x v="2"/>
    <x v="1"/>
    <x v="1"/>
    <x v="1"/>
  </r>
  <r>
    <s v="E022"/>
    <x v="21"/>
    <x v="0"/>
    <s v="Developer"/>
    <x v="4"/>
    <x v="1"/>
    <x v="5"/>
    <x v="2"/>
    <d v="2025-05-15T00:00:00"/>
    <d v="2025-05-19T00:00:00"/>
    <x v="2"/>
    <n v="24966"/>
    <x v="0"/>
    <x v="6"/>
    <x v="2"/>
    <x v="1"/>
  </r>
  <r>
    <s v="E023"/>
    <x v="22"/>
    <x v="2"/>
    <s v="Analyst"/>
    <x v="3"/>
    <x v="2"/>
    <x v="6"/>
    <x v="0"/>
    <d v="2025-03-21T00:00:00"/>
    <d v="2025-03-25T00:00:00"/>
    <x v="13"/>
    <n v="14904"/>
    <x v="0"/>
    <x v="6"/>
    <x v="2"/>
    <x v="1"/>
  </r>
  <r>
    <s v="E024"/>
    <x v="23"/>
    <x v="3"/>
    <s v="Executive"/>
    <x v="0"/>
    <x v="1"/>
    <x v="7"/>
    <x v="0"/>
    <d v="2025-07-06T00:00:00"/>
    <d v="2025-07-11T00:00:00"/>
    <x v="14"/>
    <n v="8392"/>
    <x v="0"/>
    <x v="11"/>
    <x v="0"/>
    <x v="0"/>
  </r>
  <r>
    <s v="E025"/>
    <x v="24"/>
    <x v="2"/>
    <s v="Senior Executive"/>
    <x v="4"/>
    <x v="2"/>
    <x v="8"/>
    <x v="0"/>
    <d v="2025-11-07T00:00:00"/>
    <d v="2025-11-12T00:00:00"/>
    <x v="15"/>
    <n v="11480"/>
    <x v="2"/>
    <x v="1"/>
    <x v="1"/>
    <x v="1"/>
  </r>
  <r>
    <s v="E026"/>
    <x v="25"/>
    <x v="2"/>
    <s v="Senior Executive"/>
    <x v="3"/>
    <x v="2"/>
    <x v="5"/>
    <x v="0"/>
    <d v="2025-03-24T00:00:00"/>
    <d v="2025-03-28T00:00:00"/>
    <x v="10"/>
    <n v="16032"/>
    <x v="2"/>
    <x v="1"/>
    <x v="1"/>
    <x v="1"/>
  </r>
  <r>
    <s v="E027"/>
    <x v="26"/>
    <x v="0"/>
    <s v="Executive"/>
    <x v="2"/>
    <x v="0"/>
    <x v="8"/>
    <x v="2"/>
    <d v="2025-09-13T00:00:00"/>
    <d v="2025-09-17T00:00:00"/>
    <x v="16"/>
    <n v="12450"/>
    <x v="2"/>
    <x v="1"/>
    <x v="1"/>
    <x v="1"/>
  </r>
  <r>
    <s v="E028"/>
    <x v="27"/>
    <x v="3"/>
    <s v="Analyst"/>
    <x v="8"/>
    <x v="0"/>
    <x v="8"/>
    <x v="2"/>
    <d v="2025-12-20T00:00:00"/>
    <d v="2025-12-23T00:00:00"/>
    <x v="12"/>
    <n v="23728"/>
    <x v="2"/>
    <x v="1"/>
    <x v="1"/>
    <x v="1"/>
  </r>
  <r>
    <s v="E029"/>
    <x v="28"/>
    <x v="4"/>
    <s v="Developer"/>
    <x v="6"/>
    <x v="1"/>
    <x v="8"/>
    <x v="0"/>
    <d v="2025-03-24T00:00:00"/>
    <d v="2025-03-30T00:00:00"/>
    <x v="4"/>
    <n v="14070"/>
    <x v="1"/>
    <x v="1"/>
    <x v="1"/>
    <x v="1"/>
  </r>
  <r>
    <s v="E030"/>
    <x v="29"/>
    <x v="3"/>
    <s v="Senior Executive"/>
    <x v="0"/>
    <x v="1"/>
    <x v="1"/>
    <x v="1"/>
    <d v="2025-12-23T00:00:00"/>
    <d v="2025-12-27T00:00:00"/>
    <x v="9"/>
    <n v="12861"/>
    <x v="2"/>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B7D8DA-E315-4E0F-8305-F698F08B966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aining Program">
  <location ref="A36:B46" firstHeaderRow="1" firstDataRow="1" firstDataCol="1"/>
  <pivotFields count="16">
    <pivotField showAll="0"/>
    <pivotField showAll="0"/>
    <pivotField showAll="0">
      <items count="6">
        <item x="1"/>
        <item x="4"/>
        <item x="3"/>
        <item x="0"/>
        <item x="2"/>
        <item t="default"/>
      </items>
    </pivotField>
    <pivotField showAll="0"/>
    <pivotField axis="axisRow" showAll="0" sortType="ascending">
      <items count="10">
        <item x="3"/>
        <item x="7"/>
        <item x="2"/>
        <item x="0"/>
        <item x="6"/>
        <item x="8"/>
        <item x="1"/>
        <item x="5"/>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showAll="0">
      <items count="18">
        <item x="14"/>
        <item x="9"/>
        <item x="15"/>
        <item x="7"/>
        <item x="10"/>
        <item x="6"/>
        <item x="4"/>
        <item x="16"/>
        <item x="12"/>
        <item x="3"/>
        <item x="13"/>
        <item x="2"/>
        <item x="11"/>
        <item x="0"/>
        <item x="8"/>
        <item x="1"/>
        <item x="5"/>
        <item t="default"/>
      </items>
    </pivotField>
    <pivotField showAll="0"/>
    <pivotField showAll="0">
      <items count="4">
        <item x="0"/>
        <item x="1"/>
        <item x="2"/>
        <item t="default"/>
      </items>
    </pivotField>
    <pivotField dataField="1" showAll="0">
      <items count="13">
        <item x="1"/>
        <item x="5"/>
        <item x="2"/>
        <item x="9"/>
        <item x="4"/>
        <item x="6"/>
        <item x="0"/>
        <item x="10"/>
        <item x="11"/>
        <item x="3"/>
        <item x="8"/>
        <item x="7"/>
        <item t="default"/>
      </items>
    </pivotField>
    <pivotField showAll="0"/>
    <pivotField showAll="0"/>
  </pivotFields>
  <rowFields count="1">
    <field x="4"/>
  </rowFields>
  <rowItems count="10">
    <i>
      <x v="1"/>
    </i>
    <i>
      <x v="5"/>
    </i>
    <i>
      <x v="7"/>
    </i>
    <i>
      <x v="6"/>
    </i>
    <i>
      <x v="4"/>
    </i>
    <i>
      <x v="2"/>
    </i>
    <i>
      <x v="8"/>
    </i>
    <i>
      <x/>
    </i>
    <i>
      <x v="3"/>
    </i>
    <i t="grand">
      <x/>
    </i>
  </rowItems>
  <colItems count="1">
    <i/>
  </colItems>
  <dataFields count="1">
    <dataField name="Average of Score/Assessment (%)" fld="13" subtotal="average" baseField="4" baseItem="0" numFmtId="1"/>
  </dataFields>
  <formats count="3">
    <format dxfId="21">
      <pivotArea grandRow="1" outline="0" collapsedLevelsAreSubtotals="1" fieldPosition="0"/>
    </format>
    <format dxfId="20">
      <pivotArea outline="0" fieldPosition="0">
        <references count="1">
          <reference field="4294967294" count="1">
            <x v="0"/>
          </reference>
        </references>
      </pivotArea>
    </format>
    <format dxfId="1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E6097F-AC90-448E-AC82-ABB368DB988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mp;etion_status">
  <location ref="A29:B33" firstHeaderRow="1" firstDataRow="1" firstDataCol="1"/>
  <pivotFields count="16">
    <pivotField showAll="0"/>
    <pivotField showAll="0"/>
    <pivotField showAll="0">
      <items count="6">
        <item x="1"/>
        <item x="4"/>
        <item x="3"/>
        <item x="0"/>
        <item x="2"/>
        <item t="default"/>
      </items>
    </pivotField>
    <pivotField showAll="0"/>
    <pivotField showAll="0">
      <items count="10">
        <item x="3"/>
        <item x="7"/>
        <item x="2"/>
        <item x="0"/>
        <item x="6"/>
        <item x="8"/>
        <item x="1"/>
        <item x="5"/>
        <item x="4"/>
        <item t="default"/>
      </items>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showAll="0">
      <items count="18">
        <item x="14"/>
        <item x="9"/>
        <item x="15"/>
        <item x="7"/>
        <item x="10"/>
        <item x="6"/>
        <item x="4"/>
        <item x="16"/>
        <item x="12"/>
        <item x="3"/>
        <item x="13"/>
        <item x="2"/>
        <item x="11"/>
        <item x="0"/>
        <item x="8"/>
        <item x="1"/>
        <item x="5"/>
        <item t="default"/>
      </items>
    </pivotField>
    <pivotField showAll="0"/>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4">
    <i>
      <x/>
    </i>
    <i>
      <x v="2"/>
    </i>
    <i>
      <x v="1"/>
    </i>
    <i t="grand">
      <x/>
    </i>
  </rowItems>
  <colItems count="1">
    <i/>
  </colItems>
  <dataFields count="1">
    <dataField name="Count of Completion Status" fld="12" subtotal="count" showDataAs="percentOfTotal" baseField="12" baseItem="0" numFmtId="9"/>
  </dataFields>
  <formats count="3">
    <format dxfId="24">
      <pivotArea grandRow="1" outline="0" collapsedLevelsAreSubtotals="1" fieldPosition="0"/>
    </format>
    <format dxfId="23">
      <pivotArea outline="0" fieldPosition="0">
        <references count="1">
          <reference field="4294967294" count="1">
            <x v="0"/>
          </reference>
        </references>
      </pivotArea>
    </format>
    <format dxfId="2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C83497-9BF7-41FF-BE7B-85251C121E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
  <location ref="A16:B26" firstHeaderRow="1" firstDataRow="1" firstDataCol="1"/>
  <pivotFields count="16">
    <pivotField showAll="0"/>
    <pivotField showAll="0"/>
    <pivotField showAll="0">
      <items count="6">
        <item x="1"/>
        <item x="4"/>
        <item x="3"/>
        <item x="0"/>
        <item x="2"/>
        <item t="default"/>
      </items>
    </pivotField>
    <pivotField showAll="0"/>
    <pivotField axis="axisRow" showAll="0" sortType="descending">
      <items count="10">
        <item x="3"/>
        <item x="7"/>
        <item x="2"/>
        <item x="0"/>
        <item x="6"/>
        <item x="8"/>
        <item x="1"/>
        <item x="5"/>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showAll="0">
      <items count="18">
        <item x="14"/>
        <item x="9"/>
        <item x="15"/>
        <item x="7"/>
        <item x="10"/>
        <item x="6"/>
        <item x="4"/>
        <item x="16"/>
        <item x="12"/>
        <item x="3"/>
        <item x="13"/>
        <item x="2"/>
        <item x="11"/>
        <item x="0"/>
        <item x="8"/>
        <item x="1"/>
        <item x="5"/>
        <item t="default"/>
      </items>
    </pivotField>
    <pivotField dataField="1" showAll="0"/>
    <pivotField showAll="0"/>
    <pivotField showAll="0"/>
    <pivotField showAll="0"/>
    <pivotField showAll="0"/>
  </pivotFields>
  <rowFields count="1">
    <field x="4"/>
  </rowFields>
  <rowItems count="10">
    <i>
      <x v="8"/>
    </i>
    <i>
      <x v="6"/>
    </i>
    <i>
      <x v="4"/>
    </i>
    <i>
      <x/>
    </i>
    <i>
      <x v="5"/>
    </i>
    <i>
      <x v="1"/>
    </i>
    <i>
      <x v="2"/>
    </i>
    <i>
      <x v="7"/>
    </i>
    <i>
      <x v="3"/>
    </i>
    <i t="grand">
      <x/>
    </i>
  </rowItems>
  <colItems count="1">
    <i/>
  </colItems>
  <dataFields count="1">
    <dataField name="Average of Training Cost" fld="11" subtotal="average" baseField="4" baseItem="0" numFmtId="1"/>
  </dataFields>
  <formats count="5">
    <format dxfId="14">
      <pivotArea collapsedLevelsAreSubtotals="1" fieldPosition="0">
        <references count="1">
          <reference field="4" count="1">
            <x v="8"/>
          </reference>
        </references>
      </pivotArea>
    </format>
    <format dxfId="15">
      <pivotArea collapsedLevelsAreSubtotals="1" fieldPosition="0">
        <references count="1">
          <reference field="4" count="1">
            <x v="6"/>
          </reference>
        </references>
      </pivotArea>
    </format>
    <format dxfId="16">
      <pivotArea collapsedLevelsAreSubtotals="1" fieldPosition="0">
        <references count="1">
          <reference field="4" count="1">
            <x v="3"/>
          </reference>
        </references>
      </pivotArea>
    </format>
    <format dxfId="17">
      <pivotArea grandRow="1" outline="0" collapsedLevelsAreSubtotals="1" fieldPosition="0"/>
    </format>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21DC0-A383-4384-809A-9754EC62A8C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location ref="A3:B13" firstHeaderRow="1" firstDataRow="1" firstDataCol="1"/>
  <pivotFields count="16">
    <pivotField showAll="0"/>
    <pivotField showAll="0"/>
    <pivotField showAll="0">
      <items count="6">
        <item x="1"/>
        <item x="4"/>
        <item x="3"/>
        <item x="0"/>
        <item x="2"/>
        <item t="default"/>
      </items>
    </pivotField>
    <pivotField showAll="0"/>
    <pivotField axis="axisRow" showAll="0" sortType="ascending">
      <items count="10">
        <item x="3"/>
        <item x="7"/>
        <item x="2"/>
        <item x="0"/>
        <item x="6"/>
        <item x="8"/>
        <item x="1"/>
        <item x="5"/>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dataField="1" showAll="0">
      <items count="18">
        <item x="14"/>
        <item x="9"/>
        <item x="15"/>
        <item x="7"/>
        <item x="10"/>
        <item x="6"/>
        <item x="4"/>
        <item x="16"/>
        <item x="12"/>
        <item x="3"/>
        <item x="13"/>
        <item x="2"/>
        <item x="11"/>
        <item x="0"/>
        <item x="8"/>
        <item x="1"/>
        <item x="5"/>
        <item t="default"/>
      </items>
    </pivotField>
    <pivotField showAll="0"/>
    <pivotField showAll="0"/>
    <pivotField showAll="0"/>
    <pivotField showAll="0"/>
    <pivotField showAll="0"/>
  </pivotFields>
  <rowFields count="1">
    <field x="4"/>
  </rowFields>
  <rowItems count="10">
    <i>
      <x v="7"/>
    </i>
    <i>
      <x v="3"/>
    </i>
    <i>
      <x v="1"/>
    </i>
    <i>
      <x v="5"/>
    </i>
    <i>
      <x/>
    </i>
    <i>
      <x v="4"/>
    </i>
    <i>
      <x v="2"/>
    </i>
    <i>
      <x v="8"/>
    </i>
    <i>
      <x v="6"/>
    </i>
    <i t="grand">
      <x/>
    </i>
  </rowItems>
  <colItems count="1">
    <i/>
  </colItems>
  <dataFields count="1">
    <dataField name="Average of Training Hours" fld="10" subtotal="average" baseField="4" baseItem="0" numFmtId="1"/>
  </dataFields>
  <formats count="5">
    <format dxfId="33">
      <pivotArea collapsedLevelsAreSubtotals="1" fieldPosition="0">
        <references count="1">
          <reference field="4" count="1">
            <x v="8"/>
          </reference>
        </references>
      </pivotArea>
    </format>
    <format dxfId="32">
      <pivotArea collapsedLevelsAreSubtotals="1" fieldPosition="0">
        <references count="1">
          <reference field="4" count="1">
            <x v="6"/>
          </reference>
        </references>
      </pivotArea>
    </format>
    <format dxfId="31">
      <pivotArea collapsedLevelsAreSubtotals="1" fieldPosition="0">
        <references count="1">
          <reference field="4" count="1">
            <x v="3"/>
          </reference>
        </references>
      </pivotArea>
    </format>
    <format dxfId="30">
      <pivotArea grandRow="1" outline="0" collapsedLevelsAreSubtotals="1" fieldPosition="0"/>
    </format>
    <format dxfId="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5258B7-22C7-4C1C-9240-FA2D3E04334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aining Program">
  <location ref="A62:B65" firstHeaderRow="1" firstDataRow="1" firstDataCol="1"/>
  <pivotFields count="16">
    <pivotField showAll="0"/>
    <pivotField showAll="0"/>
    <pivotField showAll="0">
      <items count="6">
        <item x="1"/>
        <item x="4"/>
        <item x="3"/>
        <item x="0"/>
        <item x="2"/>
        <item t="default"/>
      </items>
    </pivotField>
    <pivotField showAll="0"/>
    <pivotField showAll="0">
      <items count="10">
        <item x="3"/>
        <item x="7"/>
        <item x="2"/>
        <item x="0"/>
        <item x="6"/>
        <item x="8"/>
        <item x="1"/>
        <item x="5"/>
        <item x="4"/>
        <item t="default"/>
      </items>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showAll="0">
      <items count="18">
        <item x="14"/>
        <item x="9"/>
        <item x="15"/>
        <item x="7"/>
        <item x="10"/>
        <item x="6"/>
        <item x="4"/>
        <item x="16"/>
        <item x="12"/>
        <item x="3"/>
        <item x="13"/>
        <item x="2"/>
        <item x="11"/>
        <item x="0"/>
        <item x="8"/>
        <item x="1"/>
        <item x="5"/>
        <item t="default"/>
      </items>
    </pivotField>
    <pivotField showAll="0"/>
    <pivotField showAll="0">
      <items count="4">
        <item x="0"/>
        <item x="1"/>
        <item x="2"/>
        <item t="default"/>
      </items>
    </pivotField>
    <pivotField showAll="0">
      <items count="13">
        <item x="1"/>
        <item x="5"/>
        <item x="2"/>
        <item x="9"/>
        <item x="4"/>
        <item x="6"/>
        <item x="0"/>
        <item x="10"/>
        <item x="11"/>
        <item x="3"/>
        <item x="8"/>
        <item x="7"/>
        <item t="default"/>
      </items>
    </pivotField>
    <pivotField showAll="0">
      <items count="5">
        <item x="1"/>
        <item x="0"/>
        <item x="2"/>
        <item x="3"/>
        <item t="default"/>
      </items>
    </pivotField>
    <pivotField axis="axisRow" dataField="1" showAll="0">
      <items count="3">
        <item x="1"/>
        <item x="0"/>
        <item t="default"/>
      </items>
    </pivotField>
  </pivotFields>
  <rowFields count="1">
    <field x="15"/>
  </rowFields>
  <rowItems count="3">
    <i>
      <x/>
    </i>
    <i>
      <x v="1"/>
    </i>
    <i t="grand">
      <x/>
    </i>
  </rowItems>
  <colItems count="1">
    <i/>
  </colItems>
  <dataFields count="1">
    <dataField name="Count of Certification" fld="15" subtotal="count" showDataAs="percentOfTotal" baseField="15" baseItem="0" numFmtId="9"/>
  </dataFields>
  <formats count="3">
    <format dxfId="36">
      <pivotArea grandRow="1" outline="0" collapsedLevelsAreSubtotals="1" fieldPosition="0"/>
    </format>
    <format dxfId="35">
      <pivotArea outline="0" fieldPosition="0">
        <references count="1">
          <reference field="4294967294" count="1">
            <x v="0"/>
          </reference>
        </references>
      </pivotArea>
    </format>
    <format dxfId="34">
      <pivotArea outline="0" collapsedLevelsAreSubtotals="1" fieldPosition="0"/>
    </format>
  </format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EC481E-22C7-412B-8B1F-7EA72D4AE0B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aining Program">
  <location ref="A49:B59" firstHeaderRow="1" firstDataRow="1" firstDataCol="1"/>
  <pivotFields count="16">
    <pivotField showAll="0"/>
    <pivotField showAll="0"/>
    <pivotField showAll="0">
      <items count="6">
        <item x="1"/>
        <item x="4"/>
        <item x="3"/>
        <item x="0"/>
        <item x="2"/>
        <item t="default"/>
      </items>
    </pivotField>
    <pivotField showAll="0"/>
    <pivotField axis="axisRow" showAll="0" sortType="ascending">
      <items count="10">
        <item x="3"/>
        <item x="7"/>
        <item x="2"/>
        <item x="0"/>
        <item x="6"/>
        <item x="8"/>
        <item x="1"/>
        <item x="5"/>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0">
        <item x="8"/>
        <item x="0"/>
        <item x="6"/>
        <item x="3"/>
        <item x="4"/>
        <item x="7"/>
        <item x="2"/>
        <item x="1"/>
        <item x="5"/>
        <item t="default"/>
      </items>
    </pivotField>
    <pivotField showAll="0">
      <items count="4">
        <item x="2"/>
        <item x="1"/>
        <item x="0"/>
        <item t="default"/>
      </items>
    </pivotField>
    <pivotField numFmtId="164" showAll="0"/>
    <pivotField numFmtId="164" showAll="0"/>
    <pivotField showAll="0">
      <items count="18">
        <item x="14"/>
        <item x="9"/>
        <item x="15"/>
        <item x="7"/>
        <item x="10"/>
        <item x="6"/>
        <item x="4"/>
        <item x="16"/>
        <item x="12"/>
        <item x="3"/>
        <item x="13"/>
        <item x="2"/>
        <item x="11"/>
        <item x="0"/>
        <item x="8"/>
        <item x="1"/>
        <item x="5"/>
        <item t="default"/>
      </items>
    </pivotField>
    <pivotField showAll="0"/>
    <pivotField showAll="0">
      <items count="4">
        <item x="0"/>
        <item x="1"/>
        <item x="2"/>
        <item t="default"/>
      </items>
    </pivotField>
    <pivotField showAll="0">
      <items count="13">
        <item x="1"/>
        <item x="5"/>
        <item x="2"/>
        <item x="9"/>
        <item x="4"/>
        <item x="6"/>
        <item x="0"/>
        <item x="10"/>
        <item x="11"/>
        <item x="3"/>
        <item x="8"/>
        <item x="7"/>
        <item t="default"/>
      </items>
    </pivotField>
    <pivotField dataField="1" showAll="0">
      <items count="5">
        <item x="1"/>
        <item x="0"/>
        <item x="2"/>
        <item x="3"/>
        <item t="default"/>
      </items>
    </pivotField>
    <pivotField showAll="0"/>
  </pivotFields>
  <rowFields count="1">
    <field x="4"/>
  </rowFields>
  <rowItems count="10">
    <i>
      <x v="1"/>
    </i>
    <i>
      <x v="5"/>
    </i>
    <i>
      <x v="7"/>
    </i>
    <i>
      <x v="6"/>
    </i>
    <i>
      <x v="4"/>
    </i>
    <i>
      <x v="2"/>
    </i>
    <i>
      <x v="8"/>
    </i>
    <i>
      <x v="3"/>
    </i>
    <i>
      <x/>
    </i>
    <i t="grand">
      <x/>
    </i>
  </rowItems>
  <colItems count="1">
    <i/>
  </colItems>
  <dataFields count="1">
    <dataField name="Average of Feedback Rating (1-5)" fld="14" subtotal="average" baseField="4" baseItem="0"/>
  </dataFields>
  <formats count="2">
    <format dxfId="38">
      <pivotArea grandRow="1" outline="0" collapsedLevelsAreSubtotals="1" fieldPosition="0"/>
    </format>
    <format dxfId="3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C9D4567-02F0-4D76-A605-97B4EE2B9689}" sourceName="Department">
  <pivotTables>
    <pivotTable tabId="7" name="PivotTable6"/>
    <pivotTable tabId="7" name="PivotTable4"/>
    <pivotTable tabId="7" name="PivotTable5"/>
    <pivotTable tabId="7" name="PivotTable7"/>
    <pivotTable tabId="7" name="PivotTable8"/>
    <pivotTable tabId="7" name="PivotTable9"/>
  </pivotTables>
  <data>
    <tabular pivotCacheId="2107012379">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C6499EA6-9267-4F1E-A074-32F6EDA4BBEE}" sourceName="Training Type">
  <pivotTables>
    <pivotTable tabId="7" name="PivotTable6"/>
    <pivotTable tabId="7" name="PivotTable4"/>
    <pivotTable tabId="7" name="PivotTable5"/>
    <pivotTable tabId="7" name="PivotTable7"/>
    <pivotTable tabId="7" name="PivotTable8"/>
    <pivotTable tabId="7" name="PivotTable9"/>
  </pivotTables>
  <data>
    <tabular pivotCacheId="210701237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er_Name" xr10:uid="{2CC48FD1-9920-4940-BAC6-1F654021CD7F}" sourceName="Trainer Name">
  <pivotTables>
    <pivotTable tabId="7" name="PivotTable6"/>
    <pivotTable tabId="7" name="PivotTable4"/>
    <pivotTable tabId="7" name="PivotTable5"/>
    <pivotTable tabId="7" name="PivotTable7"/>
    <pivotTable tabId="7" name="PivotTable8"/>
    <pivotTable tabId="7" name="PivotTable9"/>
  </pivotTables>
  <data>
    <tabular pivotCacheId="2107012379">
      <items count="9">
        <i x="8" s="1"/>
        <i x="0" s="1"/>
        <i x="6" s="1"/>
        <i x="3" s="1"/>
        <i x="4" s="1"/>
        <i x="7" s="1"/>
        <i x="2"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Mode" xr10:uid="{A6A6779B-9ABF-4884-B302-20AAB5182448}" sourceName="Training Mode">
  <pivotTables>
    <pivotTable tabId="7" name="PivotTable6"/>
    <pivotTable tabId="7" name="PivotTable4"/>
    <pivotTable tabId="7" name="PivotTable5"/>
    <pivotTable tabId="7" name="PivotTable7"/>
    <pivotTable tabId="7" name="PivotTable8"/>
    <pivotTable tabId="7" name="PivotTable9"/>
  </pivotTables>
  <data>
    <tabular pivotCacheId="210701237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698F2C1-4331-499A-9F43-12D5ADD04DD4}" cache="Slicer_Department" caption="Department" style="SlicerStyleDark5" rowHeight="234950"/>
  <slicer name="Training Type" xr10:uid="{9C231202-E8DB-48CB-B81F-5ED1F458FAFA}" cache="Slicer_Training_Type" caption="Training Type" style="SlicerStyleDark2" rowHeight="234950"/>
  <slicer name="Trainer Name" xr10:uid="{FD998E92-4FCB-4287-890F-0468FA64E142}" cache="Slicer_Trainer_Name" caption="Trainer Name" style="SlicerStyleDark3" rowHeight="234950"/>
  <slicer name="Training Mode" xr10:uid="{460717F6-0900-4C42-A4C0-3861934EDA47}" cache="Slicer_Training_Mode" caption="Training Mode" style="SlicerStyleDark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8FA1-21D5-41D7-82D2-AD9DDBAE5CA5}">
  <dimension ref="A3:B65"/>
  <sheetViews>
    <sheetView workbookViewId="0">
      <selection activeCell="D23" sqref="D23"/>
    </sheetView>
  </sheetViews>
  <sheetFormatPr defaultRowHeight="14.4" x14ac:dyDescent="0.3"/>
  <cols>
    <col min="1" max="1" width="17.77734375" bestFit="1" customWidth="1"/>
    <col min="2" max="2" width="19.21875" bestFit="1" customWidth="1"/>
  </cols>
  <sheetData>
    <row r="3" spans="1:2" x14ac:dyDescent="0.3">
      <c r="A3" s="1" t="s">
        <v>117</v>
      </c>
      <c r="B3" t="s">
        <v>116</v>
      </c>
    </row>
    <row r="4" spans="1:2" x14ac:dyDescent="0.3">
      <c r="A4" s="2" t="s">
        <v>60</v>
      </c>
      <c r="B4" s="5">
        <v>11</v>
      </c>
    </row>
    <row r="5" spans="1:2" x14ac:dyDescent="0.3">
      <c r="A5" s="2" t="s">
        <v>20</v>
      </c>
      <c r="B5" s="5">
        <v>12.75</v>
      </c>
    </row>
    <row r="6" spans="1:2" x14ac:dyDescent="0.3">
      <c r="A6" s="2" t="s">
        <v>82</v>
      </c>
      <c r="B6" s="5">
        <v>14</v>
      </c>
    </row>
    <row r="7" spans="1:2" x14ac:dyDescent="0.3">
      <c r="A7" s="2" t="s">
        <v>90</v>
      </c>
      <c r="B7" s="5">
        <v>15</v>
      </c>
    </row>
    <row r="8" spans="1:2" x14ac:dyDescent="0.3">
      <c r="A8" s="2" t="s">
        <v>42</v>
      </c>
      <c r="B8" s="5">
        <v>16</v>
      </c>
    </row>
    <row r="9" spans="1:2" x14ac:dyDescent="0.3">
      <c r="A9" s="2" t="s">
        <v>68</v>
      </c>
      <c r="B9" s="5">
        <v>17</v>
      </c>
    </row>
    <row r="10" spans="1:2" x14ac:dyDescent="0.3">
      <c r="A10" s="2" t="s">
        <v>37</v>
      </c>
      <c r="B10" s="5">
        <v>17</v>
      </c>
    </row>
    <row r="11" spans="1:2" x14ac:dyDescent="0.3">
      <c r="A11" s="2" t="s">
        <v>46</v>
      </c>
      <c r="B11" s="5">
        <v>19.666666666666668</v>
      </c>
    </row>
    <row r="12" spans="1:2" x14ac:dyDescent="0.3">
      <c r="A12" s="2" t="s">
        <v>30</v>
      </c>
      <c r="B12" s="5">
        <v>20.5</v>
      </c>
    </row>
    <row r="13" spans="1:2" x14ac:dyDescent="0.3">
      <c r="A13" s="2" t="s">
        <v>115</v>
      </c>
      <c r="B13" s="5">
        <v>16.533333333333335</v>
      </c>
    </row>
    <row r="16" spans="1:2" x14ac:dyDescent="0.3">
      <c r="A16" s="1" t="s">
        <v>117</v>
      </c>
      <c r="B16" t="s">
        <v>118</v>
      </c>
    </row>
    <row r="17" spans="1:2" x14ac:dyDescent="0.3">
      <c r="A17" s="2" t="s">
        <v>46</v>
      </c>
      <c r="B17" s="5">
        <v>21780.166666666668</v>
      </c>
    </row>
    <row r="18" spans="1:2" x14ac:dyDescent="0.3">
      <c r="A18" s="2" t="s">
        <v>30</v>
      </c>
      <c r="B18" s="5">
        <v>21746.5</v>
      </c>
    </row>
    <row r="19" spans="1:2" x14ac:dyDescent="0.3">
      <c r="A19" s="2" t="s">
        <v>68</v>
      </c>
      <c r="B19" s="5">
        <v>20809</v>
      </c>
    </row>
    <row r="20" spans="1:2" x14ac:dyDescent="0.3">
      <c r="A20" s="2" t="s">
        <v>42</v>
      </c>
      <c r="B20" s="5">
        <v>19373.857142857141</v>
      </c>
    </row>
    <row r="21" spans="1:2" x14ac:dyDescent="0.3">
      <c r="A21" s="2" t="s">
        <v>90</v>
      </c>
      <c r="B21" s="5">
        <v>18773</v>
      </c>
    </row>
    <row r="22" spans="1:2" x14ac:dyDescent="0.3">
      <c r="A22" s="2" t="s">
        <v>82</v>
      </c>
      <c r="B22" s="5">
        <v>17094</v>
      </c>
    </row>
    <row r="23" spans="1:2" x14ac:dyDescent="0.3">
      <c r="A23" s="2" t="s">
        <v>37</v>
      </c>
      <c r="B23" s="5">
        <v>16997.75</v>
      </c>
    </row>
    <row r="24" spans="1:2" x14ac:dyDescent="0.3">
      <c r="A24" s="2" t="s">
        <v>60</v>
      </c>
      <c r="B24" s="5">
        <v>16214</v>
      </c>
    </row>
    <row r="25" spans="1:2" x14ac:dyDescent="0.3">
      <c r="A25" s="2" t="s">
        <v>20</v>
      </c>
      <c r="B25" s="5">
        <v>15366.25</v>
      </c>
    </row>
    <row r="26" spans="1:2" x14ac:dyDescent="0.3">
      <c r="A26" s="2" t="s">
        <v>115</v>
      </c>
      <c r="B26" s="5">
        <v>19084.266666666666</v>
      </c>
    </row>
    <row r="29" spans="1:2" x14ac:dyDescent="0.3">
      <c r="A29" s="1" t="s">
        <v>119</v>
      </c>
      <c r="B29" t="s">
        <v>120</v>
      </c>
    </row>
    <row r="30" spans="1:2" x14ac:dyDescent="0.3">
      <c r="A30" s="2" t="s">
        <v>24</v>
      </c>
      <c r="B30" s="4">
        <v>0.43333333333333335</v>
      </c>
    </row>
    <row r="31" spans="1:2" x14ac:dyDescent="0.3">
      <c r="A31" s="2" t="s">
        <v>48</v>
      </c>
      <c r="B31" s="4">
        <v>0.33333333333333331</v>
      </c>
    </row>
    <row r="32" spans="1:2" x14ac:dyDescent="0.3">
      <c r="A32" s="2" t="s">
        <v>33</v>
      </c>
      <c r="B32" s="4">
        <v>0.23333333333333334</v>
      </c>
    </row>
    <row r="33" spans="1:2" x14ac:dyDescent="0.3">
      <c r="A33" s="2" t="s">
        <v>115</v>
      </c>
      <c r="B33" s="4">
        <v>1</v>
      </c>
    </row>
    <row r="36" spans="1:2" x14ac:dyDescent="0.3">
      <c r="A36" s="1" t="s">
        <v>4</v>
      </c>
      <c r="B36" t="s">
        <v>121</v>
      </c>
    </row>
    <row r="37" spans="1:2" x14ac:dyDescent="0.3">
      <c r="A37" s="2" t="s">
        <v>82</v>
      </c>
      <c r="B37" s="5">
        <v>0</v>
      </c>
    </row>
    <row r="38" spans="1:2" x14ac:dyDescent="0.3">
      <c r="A38" s="2" t="s">
        <v>90</v>
      </c>
      <c r="B38" s="5">
        <v>0</v>
      </c>
    </row>
    <row r="39" spans="1:2" x14ac:dyDescent="0.3">
      <c r="A39" s="2" t="s">
        <v>60</v>
      </c>
      <c r="B39" s="5">
        <v>0</v>
      </c>
    </row>
    <row r="40" spans="1:2" x14ac:dyDescent="0.3">
      <c r="A40" s="2" t="s">
        <v>30</v>
      </c>
      <c r="B40" s="5">
        <v>0</v>
      </c>
    </row>
    <row r="41" spans="1:2" x14ac:dyDescent="0.3">
      <c r="A41" s="2" t="s">
        <v>68</v>
      </c>
      <c r="B41" s="5">
        <v>20</v>
      </c>
    </row>
    <row r="42" spans="1:2" x14ac:dyDescent="0.3">
      <c r="A42" s="2" t="s">
        <v>37</v>
      </c>
      <c r="B42" s="5">
        <v>32.75</v>
      </c>
    </row>
    <row r="43" spans="1:2" x14ac:dyDescent="0.3">
      <c r="A43" s="2" t="s">
        <v>46</v>
      </c>
      <c r="B43" s="5">
        <v>39.333333333333336</v>
      </c>
    </row>
    <row r="44" spans="1:2" x14ac:dyDescent="0.3">
      <c r="A44" s="2" t="s">
        <v>42</v>
      </c>
      <c r="B44" s="5">
        <v>42.428571428571431</v>
      </c>
    </row>
    <row r="45" spans="1:2" x14ac:dyDescent="0.3">
      <c r="A45" s="2" t="s">
        <v>20</v>
      </c>
      <c r="B45" s="5">
        <v>61.5</v>
      </c>
    </row>
    <row r="46" spans="1:2" x14ac:dyDescent="0.3">
      <c r="A46" s="2" t="s">
        <v>115</v>
      </c>
      <c r="B46" s="5">
        <v>32.333333333333336</v>
      </c>
    </row>
    <row r="49" spans="1:2" x14ac:dyDescent="0.3">
      <c r="A49" s="1" t="s">
        <v>4</v>
      </c>
      <c r="B49" t="s">
        <v>122</v>
      </c>
    </row>
    <row r="50" spans="1:2" x14ac:dyDescent="0.3">
      <c r="A50" s="2" t="s">
        <v>82</v>
      </c>
      <c r="B50" s="5">
        <v>0</v>
      </c>
    </row>
    <row r="51" spans="1:2" x14ac:dyDescent="0.3">
      <c r="A51" s="2" t="s">
        <v>90</v>
      </c>
      <c r="B51" s="5">
        <v>0</v>
      </c>
    </row>
    <row r="52" spans="1:2" x14ac:dyDescent="0.3">
      <c r="A52" s="2" t="s">
        <v>60</v>
      </c>
      <c r="B52" s="5">
        <v>0</v>
      </c>
    </row>
    <row r="53" spans="1:2" x14ac:dyDescent="0.3">
      <c r="A53" s="2" t="s">
        <v>30</v>
      </c>
      <c r="B53" s="5">
        <v>0</v>
      </c>
    </row>
    <row r="54" spans="1:2" x14ac:dyDescent="0.3">
      <c r="A54" s="2" t="s">
        <v>68</v>
      </c>
      <c r="B54" s="5">
        <v>1</v>
      </c>
    </row>
    <row r="55" spans="1:2" x14ac:dyDescent="0.3">
      <c r="A55" s="2" t="s">
        <v>37</v>
      </c>
      <c r="B55" s="5">
        <v>2</v>
      </c>
    </row>
    <row r="56" spans="1:2" x14ac:dyDescent="0.3">
      <c r="A56" s="2" t="s">
        <v>46</v>
      </c>
      <c r="B56" s="5">
        <v>2.1666666666666665</v>
      </c>
    </row>
    <row r="57" spans="1:2" x14ac:dyDescent="0.3">
      <c r="A57" s="2" t="s">
        <v>20</v>
      </c>
      <c r="B57" s="5">
        <v>2.25</v>
      </c>
    </row>
    <row r="58" spans="1:2" x14ac:dyDescent="0.3">
      <c r="A58" s="2" t="s">
        <v>42</v>
      </c>
      <c r="B58" s="5">
        <v>2.2857142857142856</v>
      </c>
    </row>
    <row r="59" spans="1:2" x14ac:dyDescent="0.3">
      <c r="A59" s="2" t="s">
        <v>115</v>
      </c>
      <c r="B59" s="5">
        <v>1.6333333333333333</v>
      </c>
    </row>
    <row r="62" spans="1:2" x14ac:dyDescent="0.3">
      <c r="A62" s="1" t="s">
        <v>4</v>
      </c>
      <c r="B62" t="s">
        <v>123</v>
      </c>
    </row>
    <row r="63" spans="1:2" x14ac:dyDescent="0.3">
      <c r="A63" s="2" t="s">
        <v>34</v>
      </c>
      <c r="B63" s="4">
        <v>0.8</v>
      </c>
    </row>
    <row r="64" spans="1:2" x14ac:dyDescent="0.3">
      <c r="A64" s="2" t="s">
        <v>25</v>
      </c>
      <c r="B64" s="4">
        <v>0.2</v>
      </c>
    </row>
    <row r="65" spans="1:2" x14ac:dyDescent="0.3">
      <c r="A65" s="2" t="s">
        <v>115</v>
      </c>
      <c r="B65" s="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850A-1EC4-429D-A955-D452710E1425}">
  <dimension ref="A1"/>
  <sheetViews>
    <sheetView showGridLines="0" tabSelected="1" workbookViewId="0">
      <selection activeCell="F26" sqref="F26"/>
    </sheetView>
  </sheetViews>
  <sheetFormatPr defaultRowHeight="14.4" x14ac:dyDescent="0.3"/>
  <sheetData>
    <row r="1" spans="1:1" s="6" customFormat="1" ht="18" x14ac:dyDescent="0.35">
      <c r="A1" s="6" t="s">
        <v>124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opLeftCell="B1" workbookViewId="0">
      <selection activeCell="N9" sqref="N9"/>
    </sheetView>
  </sheetViews>
  <sheetFormatPr defaultRowHeight="14.4" x14ac:dyDescent="0.3"/>
  <cols>
    <col min="1" max="1" width="11.21875" bestFit="1" customWidth="1"/>
    <col min="2" max="2" width="14.44140625" bestFit="1" customWidth="1"/>
    <col min="3" max="3" width="10.77734375" bestFit="1" customWidth="1"/>
    <col min="4" max="4" width="14.44140625" bestFit="1" customWidth="1"/>
    <col min="5" max="5" width="18.77734375" bestFit="1" customWidth="1"/>
    <col min="6" max="6" width="11.77734375" bestFit="1" customWidth="1"/>
    <col min="7" max="7" width="12.109375" bestFit="1" customWidth="1"/>
    <col min="8" max="8" width="12.6640625" bestFit="1" customWidth="1"/>
    <col min="9" max="10" width="9.5546875" bestFit="1" customWidth="1"/>
    <col min="11" max="11" width="12.6640625" bestFit="1" customWidth="1"/>
    <col min="12" max="12" width="11.5546875" bestFit="1" customWidth="1"/>
    <col min="13" max="13" width="16"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s="3">
        <v>45791</v>
      </c>
      <c r="J2" s="3">
        <v>45795</v>
      </c>
      <c r="K2">
        <v>23</v>
      </c>
      <c r="L2">
        <v>30774</v>
      </c>
      <c r="M2" t="s">
        <v>24</v>
      </c>
      <c r="N2">
        <v>71</v>
      </c>
      <c r="O2">
        <v>3</v>
      </c>
      <c r="P2" t="s">
        <v>25</v>
      </c>
    </row>
    <row r="3" spans="1:16" x14ac:dyDescent="0.3">
      <c r="A3" t="s">
        <v>26</v>
      </c>
      <c r="B3" t="s">
        <v>27</v>
      </c>
      <c r="C3" t="s">
        <v>28</v>
      </c>
      <c r="D3" t="s">
        <v>29</v>
      </c>
      <c r="E3" t="s">
        <v>30</v>
      </c>
      <c r="F3" t="s">
        <v>31</v>
      </c>
      <c r="G3" t="s">
        <v>32</v>
      </c>
      <c r="H3" t="s">
        <v>23</v>
      </c>
      <c r="I3" s="3">
        <v>45792</v>
      </c>
      <c r="J3" s="3">
        <v>45796</v>
      </c>
      <c r="K3">
        <v>27</v>
      </c>
      <c r="L3">
        <v>31509</v>
      </c>
      <c r="M3" t="s">
        <v>33</v>
      </c>
      <c r="N3">
        <v>0</v>
      </c>
      <c r="O3">
        <v>0</v>
      </c>
      <c r="P3" t="s">
        <v>34</v>
      </c>
    </row>
    <row r="4" spans="1:16" x14ac:dyDescent="0.3">
      <c r="A4" t="s">
        <v>35</v>
      </c>
      <c r="B4" t="s">
        <v>36</v>
      </c>
      <c r="C4" t="s">
        <v>28</v>
      </c>
      <c r="D4" t="s">
        <v>19</v>
      </c>
      <c r="E4" t="s">
        <v>37</v>
      </c>
      <c r="F4" t="s">
        <v>21</v>
      </c>
      <c r="G4" t="s">
        <v>32</v>
      </c>
      <c r="H4" t="s">
        <v>23</v>
      </c>
      <c r="I4" s="3">
        <v>45793</v>
      </c>
      <c r="J4" s="3">
        <v>45797</v>
      </c>
      <c r="K4">
        <v>19</v>
      </c>
      <c r="L4">
        <v>24377</v>
      </c>
      <c r="M4" t="s">
        <v>24</v>
      </c>
      <c r="N4">
        <v>65</v>
      </c>
      <c r="O4">
        <v>3</v>
      </c>
      <c r="P4" t="s">
        <v>34</v>
      </c>
    </row>
    <row r="5" spans="1:16" x14ac:dyDescent="0.3">
      <c r="A5" t="s">
        <v>38</v>
      </c>
      <c r="B5" t="s">
        <v>39</v>
      </c>
      <c r="C5" t="s">
        <v>40</v>
      </c>
      <c r="D5" t="s">
        <v>41</v>
      </c>
      <c r="E5" t="s">
        <v>42</v>
      </c>
      <c r="F5" t="s">
        <v>31</v>
      </c>
      <c r="G5" t="s">
        <v>43</v>
      </c>
      <c r="H5" t="s">
        <v>23</v>
      </c>
      <c r="I5" s="3">
        <v>45794</v>
      </c>
      <c r="J5" s="3">
        <v>45798</v>
      </c>
      <c r="K5">
        <v>17</v>
      </c>
      <c r="L5">
        <v>25126</v>
      </c>
      <c r="M5" t="s">
        <v>24</v>
      </c>
      <c r="N5">
        <v>88</v>
      </c>
      <c r="O5">
        <v>4</v>
      </c>
      <c r="P5" t="s">
        <v>25</v>
      </c>
    </row>
    <row r="6" spans="1:16" x14ac:dyDescent="0.3">
      <c r="A6" t="s">
        <v>44</v>
      </c>
      <c r="B6" t="s">
        <v>45</v>
      </c>
      <c r="C6" t="s">
        <v>40</v>
      </c>
      <c r="D6" t="s">
        <v>29</v>
      </c>
      <c r="E6" t="s">
        <v>46</v>
      </c>
      <c r="F6" t="s">
        <v>31</v>
      </c>
      <c r="G6" t="s">
        <v>32</v>
      </c>
      <c r="H6" t="s">
        <v>47</v>
      </c>
      <c r="I6" s="3">
        <v>45795</v>
      </c>
      <c r="J6" s="3">
        <v>45799</v>
      </c>
      <c r="K6">
        <v>14</v>
      </c>
      <c r="L6">
        <v>18298</v>
      </c>
      <c r="M6" t="s">
        <v>48</v>
      </c>
      <c r="N6">
        <v>0</v>
      </c>
      <c r="O6">
        <v>0</v>
      </c>
      <c r="P6" t="s">
        <v>34</v>
      </c>
    </row>
    <row r="7" spans="1:16" x14ac:dyDescent="0.3">
      <c r="A7" t="s">
        <v>49</v>
      </c>
      <c r="B7" t="s">
        <v>50</v>
      </c>
      <c r="C7" t="s">
        <v>40</v>
      </c>
      <c r="D7" t="s">
        <v>29</v>
      </c>
      <c r="E7" t="s">
        <v>42</v>
      </c>
      <c r="F7" t="s">
        <v>21</v>
      </c>
      <c r="G7" t="s">
        <v>43</v>
      </c>
      <c r="H7" t="s">
        <v>23</v>
      </c>
      <c r="I7" s="3">
        <v>45796</v>
      </c>
      <c r="J7" s="3">
        <v>45800</v>
      </c>
      <c r="K7">
        <v>28</v>
      </c>
      <c r="L7">
        <v>37632</v>
      </c>
      <c r="M7" t="s">
        <v>48</v>
      </c>
      <c r="N7">
        <v>0</v>
      </c>
      <c r="O7">
        <v>0</v>
      </c>
      <c r="P7" t="s">
        <v>34</v>
      </c>
    </row>
    <row r="8" spans="1:16" x14ac:dyDescent="0.3">
      <c r="A8" t="s">
        <v>51</v>
      </c>
      <c r="B8" t="s">
        <v>52</v>
      </c>
      <c r="C8" t="s">
        <v>40</v>
      </c>
      <c r="D8" t="s">
        <v>53</v>
      </c>
      <c r="E8" t="s">
        <v>42</v>
      </c>
      <c r="F8" t="s">
        <v>31</v>
      </c>
      <c r="G8" t="s">
        <v>54</v>
      </c>
      <c r="H8" t="s">
        <v>55</v>
      </c>
      <c r="I8" s="3">
        <v>45797</v>
      </c>
      <c r="J8" s="3">
        <v>45801</v>
      </c>
      <c r="K8">
        <v>13</v>
      </c>
      <c r="L8">
        <v>11323</v>
      </c>
      <c r="M8" t="s">
        <v>24</v>
      </c>
      <c r="N8">
        <v>69</v>
      </c>
      <c r="O8">
        <v>5</v>
      </c>
      <c r="P8" t="s">
        <v>34</v>
      </c>
    </row>
    <row r="9" spans="1:16" x14ac:dyDescent="0.3">
      <c r="A9" t="s">
        <v>56</v>
      </c>
      <c r="B9" t="s">
        <v>57</v>
      </c>
      <c r="C9" t="s">
        <v>18</v>
      </c>
      <c r="D9" t="s">
        <v>19</v>
      </c>
      <c r="E9" t="s">
        <v>30</v>
      </c>
      <c r="F9" t="s">
        <v>21</v>
      </c>
      <c r="G9" t="s">
        <v>22</v>
      </c>
      <c r="H9" t="s">
        <v>55</v>
      </c>
      <c r="I9" s="3">
        <v>45798</v>
      </c>
      <c r="J9" s="3">
        <v>45802</v>
      </c>
      <c r="K9">
        <v>14</v>
      </c>
      <c r="L9">
        <v>11984</v>
      </c>
      <c r="M9" t="s">
        <v>33</v>
      </c>
      <c r="N9">
        <v>0</v>
      </c>
      <c r="O9">
        <v>0</v>
      </c>
      <c r="P9" t="s">
        <v>34</v>
      </c>
    </row>
    <row r="10" spans="1:16" x14ac:dyDescent="0.3">
      <c r="A10" t="s">
        <v>58</v>
      </c>
      <c r="B10" t="s">
        <v>59</v>
      </c>
      <c r="C10" t="s">
        <v>28</v>
      </c>
      <c r="D10" t="s">
        <v>19</v>
      </c>
      <c r="E10" t="s">
        <v>60</v>
      </c>
      <c r="F10" t="s">
        <v>31</v>
      </c>
      <c r="G10" t="s">
        <v>61</v>
      </c>
      <c r="H10" t="s">
        <v>55</v>
      </c>
      <c r="I10" s="3">
        <v>45799</v>
      </c>
      <c r="J10" s="3">
        <v>45803</v>
      </c>
      <c r="K10">
        <v>11</v>
      </c>
      <c r="L10">
        <v>16214</v>
      </c>
      <c r="M10" t="s">
        <v>33</v>
      </c>
      <c r="N10">
        <v>0</v>
      </c>
      <c r="O10">
        <v>0</v>
      </c>
      <c r="P10" t="s">
        <v>34</v>
      </c>
    </row>
    <row r="11" spans="1:16" x14ac:dyDescent="0.3">
      <c r="A11" t="s">
        <v>62</v>
      </c>
      <c r="B11" t="s">
        <v>63</v>
      </c>
      <c r="C11" t="s">
        <v>40</v>
      </c>
      <c r="D11" t="s">
        <v>41</v>
      </c>
      <c r="E11" t="s">
        <v>46</v>
      </c>
      <c r="F11" t="s">
        <v>64</v>
      </c>
      <c r="G11" t="s">
        <v>43</v>
      </c>
      <c r="H11" t="s">
        <v>47</v>
      </c>
      <c r="I11" s="3">
        <v>45800</v>
      </c>
      <c r="J11" s="3">
        <v>45804</v>
      </c>
      <c r="K11">
        <v>25</v>
      </c>
      <c r="L11">
        <v>21325</v>
      </c>
      <c r="M11" t="s">
        <v>33</v>
      </c>
      <c r="N11">
        <v>0</v>
      </c>
      <c r="O11">
        <v>0</v>
      </c>
      <c r="P11" t="s">
        <v>34</v>
      </c>
    </row>
    <row r="12" spans="1:16" x14ac:dyDescent="0.3">
      <c r="A12" t="s">
        <v>65</v>
      </c>
      <c r="B12" t="s">
        <v>66</v>
      </c>
      <c r="C12" t="s">
        <v>67</v>
      </c>
      <c r="D12" t="s">
        <v>29</v>
      </c>
      <c r="E12" t="s">
        <v>68</v>
      </c>
      <c r="F12" t="s">
        <v>64</v>
      </c>
      <c r="G12" t="s">
        <v>69</v>
      </c>
      <c r="H12" t="s">
        <v>23</v>
      </c>
      <c r="I12" s="3">
        <v>45801</v>
      </c>
      <c r="J12" s="3">
        <v>45805</v>
      </c>
      <c r="K12">
        <v>9</v>
      </c>
      <c r="L12">
        <v>12321</v>
      </c>
      <c r="M12" t="s">
        <v>24</v>
      </c>
      <c r="N12">
        <v>60</v>
      </c>
      <c r="O12">
        <v>3</v>
      </c>
      <c r="P12" t="s">
        <v>34</v>
      </c>
    </row>
    <row r="13" spans="1:16" x14ac:dyDescent="0.3">
      <c r="A13" t="s">
        <v>70</v>
      </c>
      <c r="B13" t="s">
        <v>71</v>
      </c>
      <c r="C13" t="s">
        <v>18</v>
      </c>
      <c r="D13" t="s">
        <v>19</v>
      </c>
      <c r="E13" t="s">
        <v>42</v>
      </c>
      <c r="F13" t="s">
        <v>31</v>
      </c>
      <c r="G13" t="s">
        <v>32</v>
      </c>
      <c r="H13" t="s">
        <v>55</v>
      </c>
      <c r="I13" s="3">
        <v>45802</v>
      </c>
      <c r="J13" s="3">
        <v>45806</v>
      </c>
      <c r="K13">
        <v>12</v>
      </c>
      <c r="L13">
        <v>15684</v>
      </c>
      <c r="M13" t="s">
        <v>24</v>
      </c>
      <c r="N13">
        <v>70</v>
      </c>
      <c r="O13">
        <v>3</v>
      </c>
      <c r="P13" t="s">
        <v>34</v>
      </c>
    </row>
    <row r="14" spans="1:16" x14ac:dyDescent="0.3">
      <c r="A14" t="s">
        <v>72</v>
      </c>
      <c r="B14" t="s">
        <v>73</v>
      </c>
      <c r="C14" t="s">
        <v>28</v>
      </c>
      <c r="D14" t="s">
        <v>53</v>
      </c>
      <c r="E14" t="s">
        <v>20</v>
      </c>
      <c r="F14" t="s">
        <v>64</v>
      </c>
      <c r="G14" t="s">
        <v>32</v>
      </c>
      <c r="H14" t="s">
        <v>23</v>
      </c>
      <c r="I14" s="3">
        <v>45803</v>
      </c>
      <c r="J14" s="3">
        <v>45807</v>
      </c>
      <c r="K14">
        <v>11</v>
      </c>
      <c r="L14">
        <v>9438</v>
      </c>
      <c r="M14" t="s">
        <v>24</v>
      </c>
      <c r="N14">
        <v>93</v>
      </c>
      <c r="O14">
        <v>3</v>
      </c>
      <c r="P14" t="s">
        <v>25</v>
      </c>
    </row>
    <row r="15" spans="1:16" x14ac:dyDescent="0.3">
      <c r="A15" t="s">
        <v>74</v>
      </c>
      <c r="B15" t="s">
        <v>75</v>
      </c>
      <c r="C15" t="s">
        <v>40</v>
      </c>
      <c r="D15" t="s">
        <v>76</v>
      </c>
      <c r="E15" t="s">
        <v>46</v>
      </c>
      <c r="F15" t="s">
        <v>31</v>
      </c>
      <c r="G15" t="s">
        <v>77</v>
      </c>
      <c r="H15" t="s">
        <v>55</v>
      </c>
      <c r="I15" s="3">
        <v>45804</v>
      </c>
      <c r="J15" s="3">
        <v>45808</v>
      </c>
      <c r="K15">
        <v>22</v>
      </c>
      <c r="L15">
        <v>26444</v>
      </c>
      <c r="M15" t="s">
        <v>24</v>
      </c>
      <c r="N15">
        <v>92</v>
      </c>
      <c r="O15">
        <v>5</v>
      </c>
      <c r="P15" t="s">
        <v>25</v>
      </c>
    </row>
    <row r="16" spans="1:16" x14ac:dyDescent="0.3">
      <c r="A16" t="s">
        <v>78</v>
      </c>
      <c r="B16" t="s">
        <v>79</v>
      </c>
      <c r="C16" t="s">
        <v>18</v>
      </c>
      <c r="D16" t="s">
        <v>41</v>
      </c>
      <c r="E16" t="s">
        <v>37</v>
      </c>
      <c r="F16" t="s">
        <v>21</v>
      </c>
      <c r="G16" t="s">
        <v>32</v>
      </c>
      <c r="H16" t="s">
        <v>47</v>
      </c>
      <c r="I16" s="3">
        <v>45805</v>
      </c>
      <c r="J16" s="3">
        <v>45809</v>
      </c>
      <c r="K16">
        <v>16</v>
      </c>
      <c r="L16">
        <v>13488</v>
      </c>
      <c r="M16" t="s">
        <v>24</v>
      </c>
      <c r="N16">
        <v>66</v>
      </c>
      <c r="O16">
        <v>5</v>
      </c>
      <c r="P16" t="s">
        <v>34</v>
      </c>
    </row>
    <row r="17" spans="1:16" x14ac:dyDescent="0.3">
      <c r="A17" t="s">
        <v>80</v>
      </c>
      <c r="B17" t="s">
        <v>81</v>
      </c>
      <c r="C17" t="s">
        <v>18</v>
      </c>
      <c r="D17" t="s">
        <v>19</v>
      </c>
      <c r="E17" t="s">
        <v>82</v>
      </c>
      <c r="F17" t="s">
        <v>64</v>
      </c>
      <c r="G17" t="s">
        <v>77</v>
      </c>
      <c r="H17" t="s">
        <v>23</v>
      </c>
      <c r="I17" s="3">
        <v>45806</v>
      </c>
      <c r="J17" s="3">
        <v>45810</v>
      </c>
      <c r="K17">
        <v>14</v>
      </c>
      <c r="L17">
        <v>17094</v>
      </c>
      <c r="M17" t="s">
        <v>48</v>
      </c>
      <c r="N17">
        <v>0</v>
      </c>
      <c r="O17">
        <v>0</v>
      </c>
      <c r="P17" t="s">
        <v>34</v>
      </c>
    </row>
    <row r="18" spans="1:16" x14ac:dyDescent="0.3">
      <c r="A18" t="s">
        <v>83</v>
      </c>
      <c r="B18" t="s">
        <v>84</v>
      </c>
      <c r="C18" t="s">
        <v>85</v>
      </c>
      <c r="D18" t="s">
        <v>29</v>
      </c>
      <c r="E18" t="s">
        <v>46</v>
      </c>
      <c r="F18" t="s">
        <v>31</v>
      </c>
      <c r="G18" t="s">
        <v>69</v>
      </c>
      <c r="H18" t="s">
        <v>55</v>
      </c>
      <c r="I18" s="3">
        <v>45807</v>
      </c>
      <c r="J18" s="3">
        <v>45811</v>
      </c>
      <c r="K18">
        <v>28</v>
      </c>
      <c r="L18">
        <v>28168</v>
      </c>
      <c r="M18" t="s">
        <v>24</v>
      </c>
      <c r="N18">
        <v>74</v>
      </c>
      <c r="O18">
        <v>4</v>
      </c>
      <c r="P18" t="s">
        <v>25</v>
      </c>
    </row>
    <row r="19" spans="1:16" x14ac:dyDescent="0.3">
      <c r="A19" t="s">
        <v>86</v>
      </c>
      <c r="B19" t="s">
        <v>87</v>
      </c>
      <c r="C19" t="s">
        <v>67</v>
      </c>
      <c r="D19" t="s">
        <v>19</v>
      </c>
      <c r="E19" t="s">
        <v>37</v>
      </c>
      <c r="F19" t="s">
        <v>31</v>
      </c>
      <c r="G19" t="s">
        <v>43</v>
      </c>
      <c r="H19" t="s">
        <v>23</v>
      </c>
      <c r="I19" s="3">
        <v>45808</v>
      </c>
      <c r="J19" s="3">
        <v>45812</v>
      </c>
      <c r="K19">
        <v>18</v>
      </c>
      <c r="L19">
        <v>17676</v>
      </c>
      <c r="M19" t="s">
        <v>33</v>
      </c>
      <c r="N19">
        <v>0</v>
      </c>
      <c r="O19">
        <v>0</v>
      </c>
      <c r="P19" t="s">
        <v>34</v>
      </c>
    </row>
    <row r="20" spans="1:16" x14ac:dyDescent="0.3">
      <c r="A20" t="s">
        <v>88</v>
      </c>
      <c r="B20" t="s">
        <v>89</v>
      </c>
      <c r="C20" t="s">
        <v>18</v>
      </c>
      <c r="D20" t="s">
        <v>41</v>
      </c>
      <c r="E20" t="s">
        <v>90</v>
      </c>
      <c r="F20" t="s">
        <v>21</v>
      </c>
      <c r="G20" t="s">
        <v>69</v>
      </c>
      <c r="H20" t="s">
        <v>55</v>
      </c>
      <c r="I20" s="3">
        <v>45809</v>
      </c>
      <c r="J20" s="3">
        <v>45813</v>
      </c>
      <c r="K20">
        <v>14</v>
      </c>
      <c r="L20">
        <v>13818</v>
      </c>
      <c r="M20" t="s">
        <v>48</v>
      </c>
      <c r="N20">
        <v>0</v>
      </c>
      <c r="O20">
        <v>0</v>
      </c>
      <c r="P20" t="s">
        <v>34</v>
      </c>
    </row>
    <row r="21" spans="1:16" x14ac:dyDescent="0.3">
      <c r="A21" t="s">
        <v>91</v>
      </c>
      <c r="B21" t="s">
        <v>92</v>
      </c>
      <c r="C21" t="s">
        <v>18</v>
      </c>
      <c r="D21" t="s">
        <v>19</v>
      </c>
      <c r="E21" t="s">
        <v>42</v>
      </c>
      <c r="F21" t="s">
        <v>64</v>
      </c>
      <c r="G21" t="s">
        <v>61</v>
      </c>
      <c r="H21" t="s">
        <v>55</v>
      </c>
      <c r="I21" s="3">
        <v>45810</v>
      </c>
      <c r="J21" s="3">
        <v>45814</v>
      </c>
      <c r="K21">
        <v>12</v>
      </c>
      <c r="L21">
        <v>14916</v>
      </c>
      <c r="M21" t="s">
        <v>33</v>
      </c>
      <c r="N21">
        <v>0</v>
      </c>
      <c r="O21">
        <v>0</v>
      </c>
      <c r="P21" t="s">
        <v>34</v>
      </c>
    </row>
    <row r="22" spans="1:16" x14ac:dyDescent="0.3">
      <c r="A22" t="s">
        <v>93</v>
      </c>
      <c r="B22" t="s">
        <v>94</v>
      </c>
      <c r="C22" t="s">
        <v>40</v>
      </c>
      <c r="D22" t="s">
        <v>41</v>
      </c>
      <c r="E22" t="s">
        <v>68</v>
      </c>
      <c r="F22" t="s">
        <v>64</v>
      </c>
      <c r="G22" t="s">
        <v>61</v>
      </c>
      <c r="H22" t="s">
        <v>55</v>
      </c>
      <c r="I22" s="3">
        <v>45811</v>
      </c>
      <c r="J22" s="3">
        <v>45815</v>
      </c>
      <c r="K22">
        <v>28</v>
      </c>
      <c r="L22">
        <v>36036</v>
      </c>
      <c r="M22" t="s">
        <v>48</v>
      </c>
      <c r="N22">
        <v>0</v>
      </c>
      <c r="O22">
        <v>0</v>
      </c>
      <c r="P22" t="s">
        <v>34</v>
      </c>
    </row>
    <row r="23" spans="1:16" x14ac:dyDescent="0.3">
      <c r="A23" t="s">
        <v>95</v>
      </c>
      <c r="B23" t="s">
        <v>96</v>
      </c>
      <c r="C23" t="s">
        <v>18</v>
      </c>
      <c r="D23" t="s">
        <v>19</v>
      </c>
      <c r="E23" t="s">
        <v>46</v>
      </c>
      <c r="F23" t="s">
        <v>31</v>
      </c>
      <c r="G23" t="s">
        <v>69</v>
      </c>
      <c r="H23" t="s">
        <v>55</v>
      </c>
      <c r="I23" s="3">
        <v>45812</v>
      </c>
      <c r="J23" s="3">
        <v>45816</v>
      </c>
      <c r="K23">
        <v>19</v>
      </c>
      <c r="L23">
        <v>24966</v>
      </c>
      <c r="M23" t="s">
        <v>24</v>
      </c>
      <c r="N23">
        <v>70</v>
      </c>
      <c r="O23">
        <v>4</v>
      </c>
      <c r="P23" t="s">
        <v>34</v>
      </c>
    </row>
    <row r="24" spans="1:16" x14ac:dyDescent="0.3">
      <c r="A24" t="s">
        <v>97</v>
      </c>
      <c r="B24" t="s">
        <v>98</v>
      </c>
      <c r="C24" t="s">
        <v>40</v>
      </c>
      <c r="D24" t="s">
        <v>29</v>
      </c>
      <c r="E24" t="s">
        <v>42</v>
      </c>
      <c r="F24" t="s">
        <v>64</v>
      </c>
      <c r="G24" t="s">
        <v>77</v>
      </c>
      <c r="H24" t="s">
        <v>23</v>
      </c>
      <c r="I24" s="3">
        <v>45813</v>
      </c>
      <c r="J24" s="3">
        <v>45817</v>
      </c>
      <c r="K24">
        <v>18</v>
      </c>
      <c r="L24">
        <v>14904</v>
      </c>
      <c r="M24" t="s">
        <v>24</v>
      </c>
      <c r="N24">
        <v>70</v>
      </c>
      <c r="O24">
        <v>4</v>
      </c>
      <c r="P24" t="s">
        <v>34</v>
      </c>
    </row>
    <row r="25" spans="1:16" x14ac:dyDescent="0.3">
      <c r="A25" t="s">
        <v>99</v>
      </c>
      <c r="B25" t="s">
        <v>100</v>
      </c>
      <c r="C25" t="s">
        <v>67</v>
      </c>
      <c r="D25" t="s">
        <v>76</v>
      </c>
      <c r="E25" t="s">
        <v>20</v>
      </c>
      <c r="F25" t="s">
        <v>31</v>
      </c>
      <c r="G25" t="s">
        <v>101</v>
      </c>
      <c r="H25" t="s">
        <v>23</v>
      </c>
      <c r="I25" s="3">
        <v>45814</v>
      </c>
      <c r="J25" s="3">
        <v>45818</v>
      </c>
      <c r="K25">
        <v>8</v>
      </c>
      <c r="L25">
        <v>8392</v>
      </c>
      <c r="M25" t="s">
        <v>24</v>
      </c>
      <c r="N25">
        <v>82</v>
      </c>
      <c r="O25">
        <v>3</v>
      </c>
      <c r="P25" t="s">
        <v>25</v>
      </c>
    </row>
    <row r="26" spans="1:16" x14ac:dyDescent="0.3">
      <c r="A26" t="s">
        <v>102</v>
      </c>
      <c r="B26" t="s">
        <v>103</v>
      </c>
      <c r="C26" t="s">
        <v>40</v>
      </c>
      <c r="D26" t="s">
        <v>53</v>
      </c>
      <c r="E26" t="s">
        <v>46</v>
      </c>
      <c r="F26" t="s">
        <v>64</v>
      </c>
      <c r="G26" t="s">
        <v>104</v>
      </c>
      <c r="H26" t="s">
        <v>23</v>
      </c>
      <c r="I26" s="3">
        <v>45815</v>
      </c>
      <c r="J26" s="3">
        <v>45819</v>
      </c>
      <c r="K26">
        <v>10</v>
      </c>
      <c r="L26">
        <v>11480</v>
      </c>
      <c r="M26" t="s">
        <v>48</v>
      </c>
      <c r="N26">
        <v>0</v>
      </c>
      <c r="O26">
        <v>0</v>
      </c>
      <c r="P26" t="s">
        <v>34</v>
      </c>
    </row>
    <row r="27" spans="1:16" x14ac:dyDescent="0.3">
      <c r="A27" t="s">
        <v>105</v>
      </c>
      <c r="B27" t="s">
        <v>106</v>
      </c>
      <c r="C27" t="s">
        <v>40</v>
      </c>
      <c r="D27" t="s">
        <v>53</v>
      </c>
      <c r="E27" t="s">
        <v>42</v>
      </c>
      <c r="F27" t="s">
        <v>64</v>
      </c>
      <c r="G27" t="s">
        <v>69</v>
      </c>
      <c r="H27" t="s">
        <v>23</v>
      </c>
      <c r="I27" s="3">
        <v>45816</v>
      </c>
      <c r="J27" s="3">
        <v>45820</v>
      </c>
      <c r="K27">
        <v>12</v>
      </c>
      <c r="L27">
        <v>16032</v>
      </c>
      <c r="M27" t="s">
        <v>48</v>
      </c>
      <c r="N27">
        <v>0</v>
      </c>
      <c r="O27">
        <v>0</v>
      </c>
      <c r="P27" t="s">
        <v>34</v>
      </c>
    </row>
    <row r="28" spans="1:16" x14ac:dyDescent="0.3">
      <c r="A28" t="s">
        <v>107</v>
      </c>
      <c r="B28" t="s">
        <v>108</v>
      </c>
      <c r="C28" t="s">
        <v>18</v>
      </c>
      <c r="D28" t="s">
        <v>76</v>
      </c>
      <c r="E28" t="s">
        <v>37</v>
      </c>
      <c r="F28" t="s">
        <v>21</v>
      </c>
      <c r="G28" t="s">
        <v>104</v>
      </c>
      <c r="H28" t="s">
        <v>55</v>
      </c>
      <c r="I28" s="3">
        <v>45817</v>
      </c>
      <c r="J28" s="3">
        <v>45821</v>
      </c>
      <c r="K28">
        <v>15</v>
      </c>
      <c r="L28">
        <v>12450</v>
      </c>
      <c r="M28" t="s">
        <v>48</v>
      </c>
      <c r="N28">
        <v>0</v>
      </c>
      <c r="O28">
        <v>0</v>
      </c>
      <c r="P28" t="s">
        <v>34</v>
      </c>
    </row>
    <row r="29" spans="1:16" x14ac:dyDescent="0.3">
      <c r="A29" t="s">
        <v>109</v>
      </c>
      <c r="B29" t="s">
        <v>110</v>
      </c>
      <c r="C29" t="s">
        <v>67</v>
      </c>
      <c r="D29" t="s">
        <v>29</v>
      </c>
      <c r="E29" t="s">
        <v>90</v>
      </c>
      <c r="F29" t="s">
        <v>21</v>
      </c>
      <c r="G29" t="s">
        <v>104</v>
      </c>
      <c r="H29" t="s">
        <v>55</v>
      </c>
      <c r="I29" s="3">
        <v>45818</v>
      </c>
      <c r="J29" s="3">
        <v>45822</v>
      </c>
      <c r="K29">
        <v>16</v>
      </c>
      <c r="L29">
        <v>23728</v>
      </c>
      <c r="M29" t="s">
        <v>48</v>
      </c>
      <c r="N29">
        <v>0</v>
      </c>
      <c r="O29">
        <v>0</v>
      </c>
      <c r="P29" t="s">
        <v>34</v>
      </c>
    </row>
    <row r="30" spans="1:16" x14ac:dyDescent="0.3">
      <c r="A30" t="s">
        <v>111</v>
      </c>
      <c r="B30" t="s">
        <v>112</v>
      </c>
      <c r="C30" t="s">
        <v>85</v>
      </c>
      <c r="D30" t="s">
        <v>19</v>
      </c>
      <c r="E30" t="s">
        <v>68</v>
      </c>
      <c r="F30" t="s">
        <v>31</v>
      </c>
      <c r="G30" t="s">
        <v>104</v>
      </c>
      <c r="H30" t="s">
        <v>23</v>
      </c>
      <c r="I30" s="3">
        <v>45819</v>
      </c>
      <c r="J30" s="3">
        <v>45823</v>
      </c>
      <c r="K30">
        <v>14</v>
      </c>
      <c r="L30">
        <v>14070</v>
      </c>
      <c r="M30" t="s">
        <v>33</v>
      </c>
      <c r="N30">
        <v>0</v>
      </c>
      <c r="O30">
        <v>0</v>
      </c>
      <c r="P30" t="s">
        <v>34</v>
      </c>
    </row>
    <row r="31" spans="1:16" x14ac:dyDescent="0.3">
      <c r="A31" t="s">
        <v>113</v>
      </c>
      <c r="B31" t="s">
        <v>114</v>
      </c>
      <c r="C31" t="s">
        <v>67</v>
      </c>
      <c r="D31" t="s">
        <v>53</v>
      </c>
      <c r="E31" t="s">
        <v>20</v>
      </c>
      <c r="F31" t="s">
        <v>31</v>
      </c>
      <c r="G31" t="s">
        <v>32</v>
      </c>
      <c r="H31" t="s">
        <v>47</v>
      </c>
      <c r="I31" s="3">
        <v>45820</v>
      </c>
      <c r="J31" s="3">
        <v>45824</v>
      </c>
      <c r="K31">
        <v>9</v>
      </c>
      <c r="L31">
        <v>12861</v>
      </c>
      <c r="M31" t="s">
        <v>48</v>
      </c>
      <c r="N31">
        <v>0</v>
      </c>
      <c r="O31">
        <v>0</v>
      </c>
      <c r="P3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Training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Tannu Kumari</cp:lastModifiedBy>
  <dcterms:created xsi:type="dcterms:W3CDTF">2025-09-25T05:30:04Z</dcterms:created>
  <dcterms:modified xsi:type="dcterms:W3CDTF">2026-03-20T11:45:06Z</dcterms:modified>
</cp:coreProperties>
</file>